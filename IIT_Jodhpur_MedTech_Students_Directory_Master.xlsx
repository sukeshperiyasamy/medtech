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Master Directory" sheetId="2" state="visible" r:id="rId2"/>
    <sheet xmlns:r="http://schemas.openxmlformats.org/officeDocument/2006/relationships" name="M.Tech (Masters)" sheetId="3" state="visible" r:id="rId3"/>
    <sheet xmlns:r="http://schemas.openxmlformats.org/officeDocument/2006/relationships" name="Ph.D. Scholars" sheetId="4" state="visible" r:id="rId4"/>
    <sheet xmlns:r="http://schemas.openxmlformats.org/officeDocument/2006/relationships" name="Dual Degree (M.Tech-Ph.D.)" sheetId="5" state="visible" r:id="rId5"/>
    <sheet xmlns:r="http://schemas.openxmlformats.org/officeDocument/2006/relationships" name="Year-Wise Cohorts" sheetId="6" state="visible" r:id="rId6"/>
    <sheet xmlns:r="http://schemas.openxmlformats.org/officeDocument/2006/relationships" name="IP &amp; Entrepreneurship" sheetId="7" state="visible" r:id="rId7"/>
  </sheets>
  <definedNames>
    <definedName name="_xlnm._FilterDatabase" localSheetId="1" hidden="1">'Master Directory'!$A$4:$AB$111</definedName>
    <definedName name="_xlnm._FilterDatabase" localSheetId="2" hidden="1">'M.Tech (Masters)'!$A$4:$AB$56</definedName>
    <definedName name="_xlnm._FilterDatabase" localSheetId="3" hidden="1">'Ph.D. Scholars'!$A$4:$AB$39</definedName>
    <definedName name="_xlnm._FilterDatabase" localSheetId="4" hidden="1">'Dual Degree (M.Tech-Ph.D.)'!$A$4:$AB$24</definedName>
    <definedName name="_xlnm._FilterDatabase" localSheetId="6" hidden="1">'IP &amp; Entrepreneurship'!$A$4:$I$40</definedName>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name val="Segoe UI"/>
      <b val="1"/>
      <color rgb="00FFFFFF"/>
      <sz val="15"/>
    </font>
    <font>
      <name val="Segoe UI"/>
      <i val="1"/>
      <color rgb="00E2E8F0"/>
      <sz val="10"/>
    </font>
    <font>
      <name val="Segoe UI"/>
      <b val="1"/>
      <color rgb="00475569"/>
      <sz val="9"/>
    </font>
    <font>
      <name val="Segoe UI"/>
      <b val="1"/>
      <color rgb="001E3A8A"/>
      <sz val="16"/>
    </font>
    <font>
      <name val="Segoe UI"/>
      <b val="1"/>
      <color rgb="001E3A8A"/>
      <sz val="11"/>
    </font>
    <font>
      <name val="Segoe UI"/>
      <b val="1"/>
      <color rgb="00FFFFFF"/>
      <sz val="10"/>
    </font>
    <font>
      <name val="Segoe UI"/>
      <b val="1"/>
      <color rgb="000F172A"/>
      <sz val="9"/>
    </font>
    <font>
      <name val="Segoe UI"/>
      <color rgb="000F172A"/>
      <sz val="9"/>
    </font>
    <font>
      <name val="Segoe UI"/>
      <b val="1"/>
      <color rgb="00166534"/>
      <sz val="9"/>
    </font>
    <font>
      <name val="Segoe UI"/>
      <b val="1"/>
      <color rgb="000F172A"/>
      <sz val="10"/>
    </font>
    <font>
      <name val="Segoe UI"/>
      <b val="1"/>
      <color rgb="00FFFFFF"/>
      <sz val="9"/>
    </font>
  </fonts>
  <fills count="11">
    <fill>
      <patternFill/>
    </fill>
    <fill>
      <patternFill patternType="gray125"/>
    </fill>
    <fill>
      <patternFill patternType="solid">
        <fgColor rgb="000F172A"/>
      </patternFill>
    </fill>
    <fill>
      <patternFill patternType="solid">
        <fgColor rgb="00F8FAFC"/>
      </patternFill>
    </fill>
    <fill>
      <patternFill patternType="solid">
        <fgColor rgb="001E3A8A"/>
      </patternFill>
    </fill>
    <fill>
      <patternFill patternType="solid">
        <fgColor rgb="00E2E8F0"/>
      </patternFill>
    </fill>
    <fill>
      <patternFill patternType="solid">
        <fgColor rgb="00334155"/>
      </patternFill>
    </fill>
    <fill>
      <patternFill patternType="solid">
        <fgColor rgb="00FFFFFF"/>
      </patternFill>
    </fill>
    <fill>
      <patternFill patternType="solid">
        <fgColor rgb="00F1F5F9"/>
      </patternFill>
    </fill>
    <fill>
      <patternFill patternType="solid">
        <fgColor rgb="00EFF6FF"/>
      </patternFill>
    </fill>
    <fill>
      <patternFill patternType="solid">
        <fgColor rgb="00DCFCE7"/>
      </patternFill>
    </fill>
  </fills>
  <borders count="5">
    <border>
      <left/>
      <right/>
      <top/>
      <bottom/>
      <diagonal/>
    </border>
    <border>
      <left style="medium">
        <color rgb="0094A3B8"/>
      </left>
      <right style="medium">
        <color rgb="0094A3B8"/>
      </right>
      <top style="medium">
        <color rgb="0094A3B8"/>
      </top>
      <bottom style="medium">
        <color rgb="0094A3B8"/>
      </bottom>
    </border>
    <border>
      <left style="thin">
        <color rgb="00CBD5E1"/>
      </left>
      <right style="thin">
        <color rgb="00CBD5E1"/>
      </right>
      <top style="thin">
        <color rgb="00CBD5E1"/>
      </top>
      <bottom style="thin">
        <color rgb="00CBD5E1"/>
      </bottom>
    </border>
    <border>
      <left style="thin">
        <color rgb="00CBD5E1"/>
      </left>
      <right style="thin">
        <color rgb="00CBD5E1"/>
      </right>
      <top style="medium">
        <color rgb="0094A3B8"/>
      </top>
      <bottom style="double">
        <color rgb="000F172A"/>
      </bottom>
    </border>
    <border>
      <top style="medium">
        <color rgb="0094A3B8"/>
      </top>
      <bottom style="medium">
        <color rgb="0094A3B8"/>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1" applyAlignment="1" pivotButton="0" quotePrefix="0" xfId="0">
      <alignment horizontal="center" vertical="center"/>
    </xf>
    <xf numFmtId="0" fontId="0" fillId="3" borderId="1" pivotButton="0" quotePrefix="0" xfId="0"/>
    <xf numFmtId="0" fontId="4" fillId="3" borderId="1" applyAlignment="1" pivotButton="0" quotePrefix="0" xfId="0">
      <alignment horizontal="center" vertical="center"/>
    </xf>
    <xf numFmtId="0" fontId="5" fillId="0" borderId="0" pivotButton="0" quotePrefix="0" xfId="0"/>
    <xf numFmtId="0" fontId="6" fillId="4" borderId="2" applyAlignment="1" pivotButton="0" quotePrefix="0" xfId="0">
      <alignment horizontal="center" vertical="center"/>
    </xf>
    <xf numFmtId="0" fontId="7" fillId="0" borderId="2" applyAlignment="1" pivotButton="0" quotePrefix="0" xfId="0">
      <alignment horizontal="center" vertical="center"/>
    </xf>
    <xf numFmtId="0" fontId="8" fillId="0" borderId="2" applyAlignment="1" pivotButton="0" quotePrefix="0" xfId="0">
      <alignment horizontal="center" vertical="center"/>
    </xf>
    <xf numFmtId="164" fontId="8" fillId="0" borderId="2" applyAlignment="1" pivotButton="0" quotePrefix="0" xfId="0">
      <alignment horizontal="center" vertical="center"/>
    </xf>
    <xf numFmtId="0" fontId="3" fillId="0" borderId="2" applyAlignment="1" pivotButton="0" quotePrefix="0" xfId="0">
      <alignment horizontal="center" vertical="center"/>
    </xf>
    <xf numFmtId="0" fontId="9" fillId="0" borderId="2" applyAlignment="1" pivotButton="0" quotePrefix="0" xfId="0">
      <alignment horizontal="center" vertical="center"/>
    </xf>
    <xf numFmtId="0" fontId="10" fillId="5" borderId="3" applyAlignment="1" pivotButton="0" quotePrefix="0" xfId="0">
      <alignment horizontal="center" vertical="center"/>
    </xf>
    <xf numFmtId="164" fontId="10" fillId="5" borderId="3" applyAlignment="1" pivotButton="0" quotePrefix="0" xfId="0">
      <alignment horizontal="center" vertical="center"/>
    </xf>
    <xf numFmtId="0" fontId="6" fillId="6" borderId="2" applyAlignment="1" pivotButton="0" quotePrefix="0" xfId="0">
      <alignment horizontal="center" vertical="center"/>
    </xf>
    <xf numFmtId="0" fontId="0" fillId="6" borderId="2" pivotButton="0" quotePrefix="0" xfId="0"/>
    <xf numFmtId="0" fontId="7" fillId="0" borderId="2" pivotButton="0" quotePrefix="0" xfId="0"/>
    <xf numFmtId="0" fontId="8" fillId="0" borderId="2" pivotButton="0" quotePrefix="0" xfId="0"/>
    <xf numFmtId="0" fontId="8" fillId="0" borderId="2" applyAlignment="1" pivotButton="0" quotePrefix="0" xfId="0">
      <alignment horizontal="left" vertical="center"/>
    </xf>
    <xf numFmtId="0" fontId="0" fillId="0" borderId="2" pivotButton="0" quotePrefix="0" xfId="0"/>
    <xf numFmtId="0" fontId="8" fillId="7" borderId="2" applyAlignment="1" pivotButton="0" quotePrefix="0" xfId="0">
      <alignment horizontal="center" vertical="center"/>
    </xf>
    <xf numFmtId="0" fontId="7" fillId="7" borderId="2" applyAlignment="1" pivotButton="0" quotePrefix="0" xfId="0">
      <alignment horizontal="center" vertical="center"/>
    </xf>
    <xf numFmtId="0" fontId="7" fillId="7" borderId="2" applyAlignment="1" pivotButton="0" quotePrefix="0" xfId="0">
      <alignment horizontal="left" vertical="center"/>
    </xf>
    <xf numFmtId="0" fontId="8" fillId="7" borderId="2" applyAlignment="1" pivotButton="0" quotePrefix="0" xfId="0">
      <alignment horizontal="left" vertical="center"/>
    </xf>
    <xf numFmtId="0" fontId="3" fillId="8" borderId="2" applyAlignment="1" pivotButton="0" quotePrefix="0" xfId="0">
      <alignment horizontal="center" vertical="center"/>
    </xf>
    <xf numFmtId="0" fontId="7" fillId="9" borderId="2" applyAlignment="1" pivotButton="0" quotePrefix="0" xfId="0">
      <alignment horizontal="center" vertical="center"/>
    </xf>
    <xf numFmtId="0" fontId="8" fillId="3" borderId="2" applyAlignment="1" pivotButton="0" quotePrefix="0" xfId="0">
      <alignment horizontal="center" vertical="center"/>
    </xf>
    <xf numFmtId="0" fontId="7" fillId="3" borderId="2" applyAlignment="1" pivotButton="0" quotePrefix="0" xfId="0">
      <alignment horizontal="center" vertical="center"/>
    </xf>
    <xf numFmtId="0" fontId="7" fillId="3" borderId="2" applyAlignment="1" pivotButton="0" quotePrefix="0" xfId="0">
      <alignment horizontal="left" vertical="center"/>
    </xf>
    <xf numFmtId="0" fontId="8" fillId="3" borderId="2" applyAlignment="1" pivotButton="0" quotePrefix="0" xfId="0">
      <alignment horizontal="left" vertical="center"/>
    </xf>
    <xf numFmtId="0" fontId="9" fillId="10" borderId="2" applyAlignment="1" pivotButton="0" quotePrefix="0" xfId="0">
      <alignment horizontal="center" vertical="center"/>
    </xf>
    <xf numFmtId="0" fontId="5" fillId="9" borderId="4" applyAlignment="1" pivotButton="0" quotePrefix="0" xfId="0">
      <alignment horizontal="left" vertical="center"/>
    </xf>
    <xf numFmtId="0" fontId="0" fillId="0" borderId="4" pivotButton="0" quotePrefix="0" xfId="0"/>
    <xf numFmtId="0" fontId="11" fillId="6" borderId="2" applyAlignment="1" pivotButton="0" quotePrefix="0" xfId="0">
      <alignment horizontal="center" vertical="center"/>
    </xf>
    <xf numFmtId="0" fontId="8" fillId="9" borderId="2" applyAlignment="1" pivotButton="0" quotePrefix="0" xfId="0">
      <alignment horizontal="left" vertical="center"/>
    </xf>
    <xf numFmtId="0" fontId="8" fillId="10" borderId="2"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showGridLines="1" workbookViewId="0">
      <selection activeCell="A1" sqref="A1"/>
    </sheetView>
  </sheetViews>
  <sheetFormatPr baseColWidth="8" defaultRowHeight="15"/>
  <cols>
    <col width="24" customWidth="1" min="1" max="1"/>
    <col width="18" customWidth="1" min="2" max="2"/>
    <col width="18" customWidth="1" min="3" max="3"/>
    <col width="24" customWidth="1" min="4" max="4"/>
    <col width="20" customWidth="1" min="5" max="5"/>
    <col width="18" customWidth="1" min="6" max="6"/>
    <col width="22" customWidth="1" min="7" max="7"/>
    <col width="16" customWidth="1" min="8" max="8"/>
    <col width="18" customWidth="1" min="9" max="9"/>
    <col width="18" customWidth="1" min="10" max="10"/>
    <col width="18" customWidth="1" min="11" max="11"/>
  </cols>
  <sheetData>
    <row r="1" ht="34" customHeight="1">
      <c r="A1" s="1" t="inlineStr">
        <is>
          <t>CENTRE FOR MEDICAL TECHNOLOGIES (IDRP) | IIT JODHPUR &amp; AIIMS JODHPUR</t>
        </is>
      </c>
    </row>
    <row r="2" ht="20" customHeight="1">
      <c r="A2" s="2" t="inlineStr">
        <is>
          <t>Official Student &amp; Scholar Master Registry • Cohorts 2020 – 2026 • Verified Institute Data</t>
        </is>
      </c>
    </row>
    <row r="3" ht="8" customHeight="1"/>
    <row r="4" ht="20" customHeight="1">
      <c r="A4" s="3" t="inlineStr">
        <is>
          <t>TOTAL SCHOLARS</t>
        </is>
      </c>
      <c r="B4" s="4" t="n"/>
      <c r="C4" s="3" t="inlineStr">
        <is>
          <t>M.TECH (MASTERS)</t>
        </is>
      </c>
      <c r="D4" s="4" t="n"/>
      <c r="E4" s="3" t="inlineStr">
        <is>
          <t>PH.D. SCHOLARS</t>
        </is>
      </c>
      <c r="F4" s="4" t="n"/>
      <c r="G4" s="3" t="inlineStr">
        <is>
          <t>DUAL DEGREE (M.TECH-PH.D.)</t>
        </is>
      </c>
      <c r="H4" s="4" t="n"/>
      <c r="I4" s="3" t="inlineStr">
        <is>
          <t>ACTIVE ENROLLED</t>
        </is>
      </c>
      <c r="J4" s="3" t="inlineStr">
        <is>
          <t>ALUMNI / GRADUATES</t>
        </is>
      </c>
      <c r="K4" s="4" t="n"/>
    </row>
    <row r="5" ht="28" customHeight="1">
      <c r="A5" s="5">
        <f>COUNTA('Master Directory'!$B$5:$B$111)</f>
        <v/>
      </c>
      <c r="B5" s="4" t="n"/>
      <c r="C5" s="5">
        <f>COUNTIF('Master Directory'!$D$5:$D$111, "Masters")</f>
        <v/>
      </c>
      <c r="D5" s="4" t="n"/>
      <c r="E5" s="5">
        <f>COUNTIF('Master Directory'!$D$5:$D$111, "PhD")</f>
        <v/>
      </c>
      <c r="F5" s="4" t="n"/>
      <c r="G5" s="5">
        <f>COUNTIF('Master Directory'!$D$5:$D$111, "Dual Degree")</f>
        <v/>
      </c>
      <c r="H5" s="4" t="n"/>
      <c r="I5" s="5">
        <f>COUNTIF('Master Directory'!$H$5:$H$111, "Active")</f>
        <v/>
      </c>
      <c r="J5" s="5">
        <f>COUNTIF('Master Directory'!$H$5:$H$111, "Alumni")</f>
        <v/>
      </c>
      <c r="K5" s="4" t="n"/>
    </row>
    <row r="6" ht="10" customHeight="1"/>
    <row r="7" ht="24" customHeight="1">
      <c r="A7" s="6" t="inlineStr">
        <is>
          <t>1. COHORT ENROLLMENT MATRIX BY ADMISSION YEAR &amp; DEGREE PROGRAM</t>
        </is>
      </c>
    </row>
    <row r="8" ht="24" customHeight="1">
      <c r="A8" s="7" t="inlineStr">
        <is>
          <t>Admission Cohort Year</t>
        </is>
      </c>
      <c r="B8" s="7" t="inlineStr">
        <is>
          <t>M.Tech (Masters)</t>
        </is>
      </c>
      <c r="C8" s="7" t="inlineStr">
        <is>
          <t>Ph.D. Scholars</t>
        </is>
      </c>
      <c r="D8" s="7" t="inlineStr">
        <is>
          <t>Dual Degree (M.Tech-Ph.D.)</t>
        </is>
      </c>
      <c r="E8" s="7" t="inlineStr">
        <is>
          <t>Total Cohort Intake</t>
        </is>
      </c>
      <c r="F8" s="7" t="inlineStr">
        <is>
          <t>% of Total Intake</t>
        </is>
      </c>
      <c r="G8" s="7" t="inlineStr">
        <is>
          <t>Academic Status</t>
        </is>
      </c>
    </row>
    <row r="9" ht="20" customHeight="1">
      <c r="A9" s="8" t="n">
        <v>2020</v>
      </c>
      <c r="B9" s="9">
        <f>COUNTIFS('Master Directory'!$F$5:$F$111, $A9, 'Master Directory'!$D$5:$D$111, "Masters")</f>
        <v/>
      </c>
      <c r="C9" s="9">
        <f>COUNTIFS('Master Directory'!$F$5:$F$111, $A9, 'Master Directory'!$D$5:$D$111, "PhD")</f>
        <v/>
      </c>
      <c r="D9" s="9">
        <f>COUNTIFS('Master Directory'!$F$5:$F$111, $A9, 'Master Directory'!$D$5:$D$111, "Dual Degree")</f>
        <v/>
      </c>
      <c r="E9" s="8">
        <f>SUM(B9:D9)</f>
        <v/>
      </c>
      <c r="F9" s="10">
        <f>E9/$E$16</f>
        <v/>
      </c>
      <c r="G9" s="11" t="inlineStr">
        <is>
          <t>Alumni (Graduated)</t>
        </is>
      </c>
    </row>
    <row r="10" ht="20" customHeight="1">
      <c r="A10" s="8" t="n">
        <v>2021</v>
      </c>
      <c r="B10" s="9">
        <f>COUNTIFS('Master Directory'!$F$5:$F$111, $A10, 'Master Directory'!$D$5:$D$111, "Masters")</f>
        <v/>
      </c>
      <c r="C10" s="9">
        <f>COUNTIFS('Master Directory'!$F$5:$F$111, $A10, 'Master Directory'!$D$5:$D$111, "PhD")</f>
        <v/>
      </c>
      <c r="D10" s="9">
        <f>COUNTIFS('Master Directory'!$F$5:$F$111, $A10, 'Master Directory'!$D$5:$D$111, "Dual Degree")</f>
        <v/>
      </c>
      <c r="E10" s="8">
        <f>SUM(B10:D10)</f>
        <v/>
      </c>
      <c r="F10" s="10">
        <f>E10/$E$16</f>
        <v/>
      </c>
      <c r="G10" s="11" t="inlineStr">
        <is>
          <t>Alumni (Graduated)</t>
        </is>
      </c>
    </row>
    <row r="11" ht="20" customHeight="1">
      <c r="A11" s="8" t="n">
        <v>2022</v>
      </c>
      <c r="B11" s="9">
        <f>COUNTIFS('Master Directory'!$F$5:$F$111, $A11, 'Master Directory'!$D$5:$D$111, "Masters")</f>
        <v/>
      </c>
      <c r="C11" s="9">
        <f>COUNTIFS('Master Directory'!$F$5:$F$111, $A11, 'Master Directory'!$D$5:$D$111, "PhD")</f>
        <v/>
      </c>
      <c r="D11" s="9">
        <f>COUNTIFS('Master Directory'!$F$5:$F$111, $A11, 'Master Directory'!$D$5:$D$111, "Dual Degree")</f>
        <v/>
      </c>
      <c r="E11" s="8">
        <f>SUM(B11:D11)</f>
        <v/>
      </c>
      <c r="F11" s="10">
        <f>E11/$E$16</f>
        <v/>
      </c>
      <c r="G11" s="11" t="inlineStr">
        <is>
          <t>Alumni (Graduated)</t>
        </is>
      </c>
    </row>
    <row r="12" ht="20" customHeight="1">
      <c r="A12" s="8" t="n">
        <v>2023</v>
      </c>
      <c r="B12" s="9">
        <f>COUNTIFS('Master Directory'!$F$5:$F$111, $A12, 'Master Directory'!$D$5:$D$111, "Masters")</f>
        <v/>
      </c>
      <c r="C12" s="9">
        <f>COUNTIFS('Master Directory'!$F$5:$F$111, $A12, 'Master Directory'!$D$5:$D$111, "PhD")</f>
        <v/>
      </c>
      <c r="D12" s="9">
        <f>COUNTIFS('Master Directory'!$F$5:$F$111, $A12, 'Master Directory'!$D$5:$D$111, "Dual Degree")</f>
        <v/>
      </c>
      <c r="E12" s="8">
        <f>SUM(B12:D12)</f>
        <v/>
      </c>
      <c r="F12" s="10">
        <f>E12/$E$16</f>
        <v/>
      </c>
      <c r="G12" s="11" t="inlineStr">
        <is>
          <t>Alumni (Graduated)</t>
        </is>
      </c>
    </row>
    <row r="13" ht="20" customHeight="1">
      <c r="A13" s="8" t="n">
        <v>2024</v>
      </c>
      <c r="B13" s="9">
        <f>COUNTIFS('Master Directory'!$F$5:$F$111, $A13, 'Master Directory'!$D$5:$D$111, "Masters")</f>
        <v/>
      </c>
      <c r="C13" s="9">
        <f>COUNTIFS('Master Directory'!$F$5:$F$111, $A13, 'Master Directory'!$D$5:$D$111, "PhD")</f>
        <v/>
      </c>
      <c r="D13" s="9">
        <f>COUNTIFS('Master Directory'!$F$5:$F$111, $A13, 'Master Directory'!$D$5:$D$111, "Dual Degree")</f>
        <v/>
      </c>
      <c r="E13" s="8">
        <f>SUM(B13:D13)</f>
        <v/>
      </c>
      <c r="F13" s="10">
        <f>E13/$E$16</f>
        <v/>
      </c>
      <c r="G13" s="12" t="inlineStr">
        <is>
          <t>Graduating / Active</t>
        </is>
      </c>
    </row>
    <row r="14" ht="20" customHeight="1">
      <c r="A14" s="8" t="n">
        <v>2025</v>
      </c>
      <c r="B14" s="9">
        <f>COUNTIFS('Master Directory'!$F$5:$F$111, $A14, 'Master Directory'!$D$5:$D$111, "Masters")</f>
        <v/>
      </c>
      <c r="C14" s="9">
        <f>COUNTIFS('Master Directory'!$F$5:$F$111, $A14, 'Master Directory'!$D$5:$D$111, "PhD")</f>
        <v/>
      </c>
      <c r="D14" s="9">
        <f>COUNTIFS('Master Directory'!$F$5:$F$111, $A14, 'Master Directory'!$D$5:$D$111, "Dual Degree")</f>
        <v/>
      </c>
      <c r="E14" s="8">
        <f>SUM(B14:D14)</f>
        <v/>
      </c>
      <c r="F14" s="10">
        <f>E14/$E$16</f>
        <v/>
      </c>
      <c r="G14" s="12" t="inlineStr">
        <is>
          <t>Active Enrolled</t>
        </is>
      </c>
    </row>
    <row r="15" ht="20" customHeight="1">
      <c r="A15" s="8" t="n">
        <v>2026</v>
      </c>
      <c r="B15" s="9">
        <f>COUNTIFS('Master Directory'!$F$5:$F$111, $A15, 'Master Directory'!$D$5:$D$111, "Masters")</f>
        <v/>
      </c>
      <c r="C15" s="9">
        <f>COUNTIFS('Master Directory'!$F$5:$F$111, $A15, 'Master Directory'!$D$5:$D$111, "PhD")</f>
        <v/>
      </c>
      <c r="D15" s="9">
        <f>COUNTIFS('Master Directory'!$F$5:$F$111, $A15, 'Master Directory'!$D$5:$D$111, "Dual Degree")</f>
        <v/>
      </c>
      <c r="E15" s="8">
        <f>SUM(B15:D15)</f>
        <v/>
      </c>
      <c r="F15" s="10">
        <f>E15/$E$16</f>
        <v/>
      </c>
      <c r="G15" s="12" t="inlineStr">
        <is>
          <t>Active Enrolled</t>
        </is>
      </c>
    </row>
    <row r="16" ht="22" customHeight="1">
      <c r="A16" s="13" t="inlineStr">
        <is>
          <t>TOTAL ALL COHORTS</t>
        </is>
      </c>
      <c r="B16" s="13">
        <f>SUM(B9:B15)</f>
        <v/>
      </c>
      <c r="C16" s="13">
        <f>SUM(C9:C15)</f>
        <v/>
      </c>
      <c r="D16" s="13">
        <f>SUM(D9:D15)</f>
        <v/>
      </c>
      <c r="E16" s="13">
        <f>SUM(E9:E15)</f>
        <v/>
      </c>
      <c r="F16" s="14">
        <f>SUM(F9:F15)</f>
        <v/>
      </c>
      <c r="G16" s="13" t="inlineStr">
        <is>
          <t>100% Verified Records</t>
        </is>
      </c>
    </row>
    <row r="17" ht="10" customHeight="1"/>
    <row r="18" ht="24" customHeight="1">
      <c r="A18" s="6" t="inlineStr">
        <is>
          <t>2. STUDENT INNOVATION, TRANSLATIONAL IP &amp; ENTREPRENEURSHIP IMPACT</t>
        </is>
      </c>
    </row>
    <row r="19" ht="24" customHeight="1">
      <c r="A19" s="15" t="inlineStr">
        <is>
          <t>Innovation Pillar</t>
        </is>
      </c>
      <c r="B19" s="15" t="inlineStr">
        <is>
          <t>Student Scholar Metric</t>
        </is>
      </c>
      <c r="C19" s="15" t="inlineStr">
        <is>
          <t>Scholars Count</t>
        </is>
      </c>
      <c r="D19" s="15" t="inlineStr">
        <is>
          <t>Key Contributing Scholars &amp; Translational Output Summary</t>
        </is>
      </c>
      <c r="E19" s="16" t="n"/>
      <c r="F19" s="16" t="n"/>
      <c r="G19" s="16" t="n"/>
    </row>
    <row r="20" ht="22" customHeight="1">
      <c r="A20" s="17" t="inlineStr">
        <is>
          <t>Intellectual Property (Patents)</t>
        </is>
      </c>
      <c r="B20" s="18" t="inlineStr">
        <is>
          <t>Scholars with Filed / Granted Patents</t>
        </is>
      </c>
      <c r="C20" s="8">
        <f>COUNTIF('Master Directory'!$O$5:$O$111, "&gt;0")</f>
        <v/>
      </c>
      <c r="D20" s="19" t="inlineStr">
        <is>
          <t>16 Scholars | 28 Indian Patents (Dental irrigation, Robot echocardiography, Bilirubin, Bioinks, Paper-based glucose biosensors, Phototherapy)</t>
        </is>
      </c>
      <c r="E20" s="20" t="n"/>
      <c r="F20" s="20" t="n"/>
      <c r="G20" s="20" t="n"/>
    </row>
    <row r="21" ht="22" customHeight="1">
      <c r="A21" s="17" t="inlineStr">
        <is>
          <t>Incubated Healthcare Startups</t>
        </is>
      </c>
      <c r="B21" s="18" t="inlineStr">
        <is>
          <t>Student-Founded / Co-Founded Ventures</t>
        </is>
      </c>
      <c r="C21" s="8">
        <f>COUNTIF('Master Directory'!$Q$5:$Q$111, "&gt;0")</f>
        <v/>
      </c>
      <c r="D21" s="19" t="inlineStr">
        <is>
          <t>11 Scholars | Healyantra, Caldor Health, Medvocare, Cellverse, NxGen Healtech, Sarbit Innovations, Visionence, ShilpinMed</t>
        </is>
      </c>
      <c r="E21" s="20" t="n"/>
      <c r="F21" s="20" t="n"/>
      <c r="G21" s="20" t="n"/>
    </row>
    <row r="22" ht="22" customHeight="1">
      <c r="A22" s="17" t="inlineStr">
        <is>
          <t>Peer-Reviewed Publications</t>
        </is>
      </c>
      <c r="B22" s="18" t="inlineStr">
        <is>
          <t>Scholars with Published Papers / Responses</t>
        </is>
      </c>
      <c r="C22" s="8">
        <f>COUNTIF('Master Directory'!$M$5:$M$111, "&gt;0")</f>
        <v/>
      </c>
      <c r="D22" s="19" t="inlineStr">
        <is>
          <t>14 Scholars | Journals (Frontiers in Public Health, ACS, IEEE Nanomed), Conferences (MICCAI, IJCAI, FENS Denmark, EMBL)</t>
        </is>
      </c>
      <c r="E22" s="20" t="n"/>
      <c r="F22" s="20" t="n"/>
      <c r="G22" s="20" t="n"/>
    </row>
    <row r="23" ht="22" customHeight="1">
      <c r="A23" s="17" t="inlineStr">
        <is>
          <t>National &amp; State Awards</t>
        </is>
      </c>
      <c r="B23" s="18" t="inlineStr">
        <is>
          <t>Scholars with Prestigious Honors</t>
        </is>
      </c>
      <c r="C23" s="8">
        <f>COUNTIF('Master Directory'!$S$5:$S$111, "&gt;0")</f>
        <v/>
      </c>
      <c r="D23" s="19" t="inlineStr">
        <is>
          <t>iStart Rajasthan 1st Prize, AIIMS-IIT Joint Innovation Honors, MedTech Pitch Winners</t>
        </is>
      </c>
      <c r="E23" s="20" t="n"/>
      <c r="F23" s="20" t="n"/>
      <c r="G23" s="20" t="n"/>
    </row>
  </sheetData>
  <mergeCells count="19">
    <mergeCell ref="J5:K5"/>
    <mergeCell ref="C5:D5"/>
    <mergeCell ref="E5:F5"/>
    <mergeCell ref="A1:K1"/>
    <mergeCell ref="C4:D4"/>
    <mergeCell ref="D23:G23"/>
    <mergeCell ref="E4:F4"/>
    <mergeCell ref="D20:G20"/>
    <mergeCell ref="D19:G19"/>
    <mergeCell ref="D22:G22"/>
    <mergeCell ref="J4:K4"/>
    <mergeCell ref="A5:B5"/>
    <mergeCell ref="A2:K2"/>
    <mergeCell ref="G5:H5"/>
    <mergeCell ref="D21:G21"/>
    <mergeCell ref="A7:G7"/>
    <mergeCell ref="A4:B4"/>
    <mergeCell ref="G4:H4"/>
    <mergeCell ref="A18:G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111"/>
  <sheetViews>
    <sheetView showGridLines="1" workbookViewId="0">
      <pane xSplit="3" ySplit="4" topLeftCell="D5" activePane="bottomRight" state="frozen"/>
      <selection pane="topRight"/>
      <selection pane="bottomLeft"/>
      <selection pane="bottomRight" activeCell="A1" sqref="A1"/>
    </sheetView>
  </sheetViews>
  <sheetFormatPr baseColWidth="8" defaultRowHeight="15"/>
  <cols>
    <col width="8" customWidth="1" min="1" max="1"/>
    <col width="15" customWidth="1" min="2" max="2"/>
    <col width="26" customWidth="1" min="3" max="3"/>
    <col width="14" customWidth="1" min="4" max="4"/>
    <col width="34" customWidth="1" min="5" max="5"/>
    <col width="13" customWidth="1" min="6" max="6"/>
    <col width="16" customWidth="1" min="7" max="7"/>
    <col width="15" customWidth="1" min="8" max="8"/>
    <col width="36" customWidth="1" min="9" max="9"/>
    <col width="38" customWidth="1" min="10" max="10"/>
    <col width="28" customWidth="1" min="11" max="11"/>
    <col width="16" customWidth="1" min="12" max="12"/>
    <col width="18" customWidth="1" min="13" max="13"/>
    <col width="42" customWidth="1" min="14" max="14"/>
    <col width="15" customWidth="1" min="15" max="15"/>
    <col width="42" customWidth="1" min="16" max="16"/>
    <col width="15" customWidth="1" min="17" max="17"/>
    <col width="40" customWidth="1" min="18" max="18"/>
    <col width="15" customWidth="1" min="19" max="19"/>
    <col width="35" customWidth="1" min="20" max="20"/>
    <col width="14" customWidth="1" min="21" max="21"/>
    <col width="10" customWidth="1" min="22" max="22"/>
    <col width="32" customWidth="1" min="23" max="23"/>
    <col width="36" customWidth="1" min="24" max="24"/>
    <col width="12" customWidth="1" min="25" max="25"/>
    <col width="12" customWidth="1" min="26" max="26"/>
    <col width="10" customWidth="1" min="27" max="27"/>
    <col width="38" customWidth="1" min="28" max="28"/>
  </cols>
  <sheetData>
    <row r="1" ht="32" customHeight="1">
      <c r="A1" s="1" t="inlineStr">
        <is>
          <t>CENTRE FOR MEDICAL TECHNOLOGIES (IDRP) | IIT JODHPUR &amp; AIIMS JODHPUR</t>
        </is>
      </c>
    </row>
    <row r="2" ht="18" customHeight="1">
      <c r="A2" s="2" t="inlineStr">
        <is>
          <t>Consolidated Master Directory of All 107 Medical Technology Scholars (2020 – 2026 Batches)</t>
        </is>
      </c>
    </row>
    <row r="3" ht="8" customHeight="1"/>
    <row r="4" ht="26" customHeight="1">
      <c r="A4" s="7" t="inlineStr">
        <is>
          <t>S.No.</t>
        </is>
      </c>
      <c r="B4" s="7" t="inlineStr">
        <is>
          <t>Roll Number</t>
        </is>
      </c>
      <c r="C4" s="7" t="inlineStr">
        <is>
          <t>Student Scholar Name</t>
        </is>
      </c>
      <c r="D4" s="7" t="inlineStr">
        <is>
          <t>Program Level</t>
        </is>
      </c>
      <c r="E4" s="7" t="inlineStr">
        <is>
          <t>Degree Program</t>
        </is>
      </c>
      <c r="F4" s="7" t="inlineStr">
        <is>
          <t>Cohort Year</t>
        </is>
      </c>
      <c r="G4" s="7" t="inlineStr">
        <is>
          <t>Graduation Year</t>
        </is>
      </c>
      <c r="H4" s="7" t="inlineStr">
        <is>
          <t>Academic Status</t>
        </is>
      </c>
      <c r="I4" s="7" t="inlineStr">
        <is>
          <t>Specialization &amp; Research Focus</t>
        </is>
      </c>
      <c r="J4" s="7" t="inlineStr">
        <is>
          <t>Faculty Supervisor(s) (IIT &amp; AIIMS)</t>
        </is>
      </c>
      <c r="K4" s="7" t="inlineStr">
        <is>
          <t>Institutional Email</t>
        </is>
      </c>
      <c r="L4" s="7" t="inlineStr">
        <is>
          <t>Contact Phone</t>
        </is>
      </c>
      <c r="M4" s="7" t="inlineStr">
        <is>
          <t>Publications (Count)</t>
        </is>
      </c>
      <c r="N4" s="7" t="inlineStr">
        <is>
          <t>Publication Venues &amp; Papers</t>
        </is>
      </c>
      <c r="O4" s="7" t="inlineStr">
        <is>
          <t>Patents (Count)</t>
        </is>
      </c>
      <c r="P4" s="7" t="inlineStr">
        <is>
          <t>Patent Filings &amp; Application Nos.</t>
        </is>
      </c>
      <c r="Q4" s="7" t="inlineStr">
        <is>
          <t>Startups (Count)</t>
        </is>
      </c>
      <c r="R4" s="7" t="inlineStr">
        <is>
          <t>Startup Ventures &amp; Student Roles</t>
        </is>
      </c>
      <c r="S4" s="7" t="inlineStr">
        <is>
          <t>Awards (Count)</t>
        </is>
      </c>
      <c r="T4" s="7" t="inlineStr">
        <is>
          <t>Awards, Honors &amp; Hackathon Wins</t>
        </is>
      </c>
      <c r="U4" s="7" t="inlineStr">
        <is>
          <t>Date of Birth</t>
        </is>
      </c>
      <c r="V4" s="7" t="inlineStr">
        <is>
          <t>Gender</t>
        </is>
      </c>
      <c r="W4" s="7" t="inlineStr">
        <is>
          <t>Department / Centre</t>
        </is>
      </c>
      <c r="X4" s="7" t="inlineStr">
        <is>
          <t>Campus / Residential Address</t>
        </is>
      </c>
      <c r="Y4" s="7" t="inlineStr">
        <is>
          <t>City</t>
        </is>
      </c>
      <c r="Z4" s="7" t="inlineStr">
        <is>
          <t>State</t>
        </is>
      </c>
      <c r="AA4" s="7" t="inlineStr">
        <is>
          <t>Pincode</t>
        </is>
      </c>
      <c r="AB4" s="7" t="inlineStr">
        <is>
          <t>Verification Source URL / Provenance</t>
        </is>
      </c>
    </row>
    <row r="5" ht="20" customHeight="1">
      <c r="A5" s="21" t="n">
        <v>1</v>
      </c>
      <c r="B5" s="22" t="inlineStr">
        <is>
          <t>M20ID001</t>
        </is>
      </c>
      <c r="C5" s="23" t="inlineStr">
        <is>
          <t>Anup Kamal Kakwani</t>
        </is>
      </c>
      <c r="D5" s="21" t="inlineStr">
        <is>
          <t>Masters</t>
        </is>
      </c>
      <c r="E5" s="24" t="inlineStr">
        <is>
          <t>M.Tech in Medical Technology</t>
        </is>
      </c>
      <c r="F5" s="21" t="n">
        <v>2020</v>
      </c>
      <c r="G5" s="21" t="n">
        <v>2022</v>
      </c>
      <c r="H5" s="25" t="inlineStr">
        <is>
          <t>Alumni</t>
        </is>
      </c>
      <c r="I5" s="24" t="inlineStr">
        <is>
          <t>Endodontics &amp; Dental Irrigation Systems</t>
        </is>
      </c>
      <c r="J5" s="24" t="inlineStr">
        <is>
          <t>Dr. Pravin Kumar (AIIMS Jodhpur) &amp; Dr. Jaiveer Singh (IIT Jodhpur)</t>
        </is>
      </c>
      <c r="K5" s="24" t="inlineStr">
        <is>
          <t>m20id001@iitj.ac.in</t>
        </is>
      </c>
      <c r="L5" s="21" t="inlineStr">
        <is>
          <t>-</t>
        </is>
      </c>
      <c r="M5" s="21" t="n">
        <v>0</v>
      </c>
      <c r="N5" s="24" t="inlineStr">
        <is>
          <t>-</t>
        </is>
      </c>
      <c r="O5" s="26" t="n">
        <v>1</v>
      </c>
      <c r="P5" s="24" t="inlineStr">
        <is>
          <t>App #202211041593: A Cost Effective and User Friendly System to Irrigate Root Canal Under Apical Negative Pressure (Published) | App 202211041593: Root Canal Irrigation System Under Apical Negative Pressure</t>
        </is>
      </c>
      <c r="Q5" s="26" t="n">
        <v>1</v>
      </c>
      <c r="R5" s="24" t="inlineStr">
        <is>
          <t>NxGen Healtech Pvt. Ltd. (Founder &amp; Managing Director, Pre-Incubatee) | NxGen Healtech Pvt. Ltd. (Founder)</t>
        </is>
      </c>
      <c r="S5" s="21" t="n">
        <v>0</v>
      </c>
      <c r="T5" s="24" t="inlineStr">
        <is>
          <t>-</t>
        </is>
      </c>
      <c r="U5" s="21" t="inlineStr">
        <is>
          <t>-</t>
        </is>
      </c>
      <c r="V5" s="21" t="inlineStr">
        <is>
          <t>-</t>
        </is>
      </c>
      <c r="W5" s="24" t="inlineStr">
        <is>
          <t>Centre for Medical Technologies (IDRP)</t>
        </is>
      </c>
      <c r="X5" s="24" t="inlineStr">
        <is>
          <t>IIT Jodhpur Permanent Campus, NH 62, Karwar</t>
        </is>
      </c>
      <c r="Y5" s="21" t="inlineStr">
        <is>
          <t>Jodhpur</t>
        </is>
      </c>
      <c r="Z5" s="21" t="inlineStr">
        <is>
          <t>Rajasthan</t>
        </is>
      </c>
      <c r="AA5" s="21" t="inlineStr">
        <is>
          <t>342030</t>
        </is>
      </c>
      <c r="AB5" s="24" t="inlineStr">
        <is>
          <t>Official Cohort Registry (IIT Jodhpur MedTech Portal)</t>
        </is>
      </c>
    </row>
    <row r="6" ht="20" customHeight="1">
      <c r="A6" s="27" t="n">
        <v>2</v>
      </c>
      <c r="B6" s="28" t="inlineStr">
        <is>
          <t>M20ID002</t>
        </is>
      </c>
      <c r="C6" s="29" t="inlineStr">
        <is>
          <t>Anushri Bhardwaj</t>
        </is>
      </c>
      <c r="D6" s="27" t="inlineStr">
        <is>
          <t>Masters</t>
        </is>
      </c>
      <c r="E6" s="30" t="inlineStr">
        <is>
          <t>M.Tech in Medical Technology</t>
        </is>
      </c>
      <c r="F6" s="27" t="n">
        <v>2020</v>
      </c>
      <c r="G6" s="27" t="n">
        <v>2022</v>
      </c>
      <c r="H6" s="25" t="inlineStr">
        <is>
          <t>Alumni</t>
        </is>
      </c>
      <c r="I6" s="30" t="inlineStr">
        <is>
          <t>Medical Technology</t>
        </is>
      </c>
      <c r="J6" s="30" t="inlineStr">
        <is>
          <t>Faculty Board (IDRP / AIIMS-IIT Joint)</t>
        </is>
      </c>
      <c r="K6" s="30" t="inlineStr">
        <is>
          <t>m20id002@iitj.ac.in</t>
        </is>
      </c>
      <c r="L6" s="27" t="inlineStr">
        <is>
          <t>-</t>
        </is>
      </c>
      <c r="M6" s="27" t="n">
        <v>0</v>
      </c>
      <c r="N6" s="30" t="inlineStr">
        <is>
          <t>-</t>
        </is>
      </c>
      <c r="O6" s="27" t="n">
        <v>0</v>
      </c>
      <c r="P6" s="30" t="inlineStr">
        <is>
          <t>-</t>
        </is>
      </c>
      <c r="Q6" s="27" t="n">
        <v>0</v>
      </c>
      <c r="R6" s="30" t="inlineStr">
        <is>
          <t>-</t>
        </is>
      </c>
      <c r="S6" s="27" t="n">
        <v>0</v>
      </c>
      <c r="T6" s="30" t="inlineStr">
        <is>
          <t>-</t>
        </is>
      </c>
      <c r="U6" s="27" t="inlineStr">
        <is>
          <t>-</t>
        </is>
      </c>
      <c r="V6" s="27" t="inlineStr">
        <is>
          <t>-</t>
        </is>
      </c>
      <c r="W6" s="30" t="inlineStr">
        <is>
          <t>Centre for Medical Technologies (IDRP)</t>
        </is>
      </c>
      <c r="X6" s="30" t="inlineStr">
        <is>
          <t>IIT Jodhpur Permanent Campus, NH 62, Karwar</t>
        </is>
      </c>
      <c r="Y6" s="27" t="inlineStr">
        <is>
          <t>Jodhpur</t>
        </is>
      </c>
      <c r="Z6" s="27" t="inlineStr">
        <is>
          <t>Rajasthan</t>
        </is>
      </c>
      <c r="AA6" s="27" t="inlineStr">
        <is>
          <t>342030</t>
        </is>
      </c>
      <c r="AB6" s="30" t="inlineStr">
        <is>
          <t>Official Cohort Registry (IIT Jodhpur MedTech Portal)</t>
        </is>
      </c>
    </row>
    <row r="7" ht="20" customHeight="1">
      <c r="A7" s="21" t="n">
        <v>3</v>
      </c>
      <c r="B7" s="22" t="inlineStr">
        <is>
          <t>M20ID004</t>
        </is>
      </c>
      <c r="C7" s="23" t="inlineStr">
        <is>
          <t>Mridul Sharma</t>
        </is>
      </c>
      <c r="D7" s="21" t="inlineStr">
        <is>
          <t>Masters</t>
        </is>
      </c>
      <c r="E7" s="24" t="inlineStr">
        <is>
          <t>M.Tech in Medical Technology</t>
        </is>
      </c>
      <c r="F7" s="21" t="n">
        <v>2020</v>
      </c>
      <c r="G7" s="21" t="n">
        <v>2022</v>
      </c>
      <c r="H7" s="25" t="inlineStr">
        <is>
          <t>Alumni</t>
        </is>
      </c>
      <c r="I7" s="24" t="inlineStr">
        <is>
          <t>Medical Technology</t>
        </is>
      </c>
      <c r="J7" s="24" t="inlineStr">
        <is>
          <t>Faculty Board (IDRP / AIIMS-IIT Joint)</t>
        </is>
      </c>
      <c r="K7" s="24" t="inlineStr">
        <is>
          <t>m20id004@iitj.ac.in</t>
        </is>
      </c>
      <c r="L7" s="21" t="inlineStr">
        <is>
          <t>-</t>
        </is>
      </c>
      <c r="M7" s="21" t="n">
        <v>0</v>
      </c>
      <c r="N7" s="24" t="inlineStr">
        <is>
          <t>-</t>
        </is>
      </c>
      <c r="O7" s="21" t="n">
        <v>0</v>
      </c>
      <c r="P7" s="24" t="inlineStr">
        <is>
          <t>-</t>
        </is>
      </c>
      <c r="Q7" s="21" t="n">
        <v>0</v>
      </c>
      <c r="R7" s="24" t="inlineStr">
        <is>
          <t>-</t>
        </is>
      </c>
      <c r="S7" s="21" t="n">
        <v>0</v>
      </c>
      <c r="T7" s="24" t="inlineStr">
        <is>
          <t>-</t>
        </is>
      </c>
      <c r="U7" s="21" t="inlineStr">
        <is>
          <t>-</t>
        </is>
      </c>
      <c r="V7" s="21" t="inlineStr">
        <is>
          <t>-</t>
        </is>
      </c>
      <c r="W7" s="24" t="inlineStr">
        <is>
          <t>Centre for Medical Technologies (IDRP)</t>
        </is>
      </c>
      <c r="X7" s="24" t="inlineStr">
        <is>
          <t>IIT Jodhpur Permanent Campus, NH 62, Karwar</t>
        </is>
      </c>
      <c r="Y7" s="21" t="inlineStr">
        <is>
          <t>Jodhpur</t>
        </is>
      </c>
      <c r="Z7" s="21" t="inlineStr">
        <is>
          <t>Rajasthan</t>
        </is>
      </c>
      <c r="AA7" s="21" t="inlineStr">
        <is>
          <t>342030</t>
        </is>
      </c>
      <c r="AB7" s="24" t="inlineStr">
        <is>
          <t>Official Cohort Registry (IIT Jodhpur MedTech Portal)</t>
        </is>
      </c>
    </row>
    <row r="8" ht="20" customHeight="1">
      <c r="A8" s="27" t="n">
        <v>4</v>
      </c>
      <c r="B8" s="28" t="inlineStr">
        <is>
          <t>M20ID005</t>
        </is>
      </c>
      <c r="C8" s="29" t="inlineStr">
        <is>
          <t>Shradha Suman Panda</t>
        </is>
      </c>
      <c r="D8" s="27" t="inlineStr">
        <is>
          <t>Masters</t>
        </is>
      </c>
      <c r="E8" s="30" t="inlineStr">
        <is>
          <t>M.Tech in Medical Technology</t>
        </is>
      </c>
      <c r="F8" s="27" t="n">
        <v>2020</v>
      </c>
      <c r="G8" s="27" t="n">
        <v>2022</v>
      </c>
      <c r="H8" s="25" t="inlineStr">
        <is>
          <t>Alumni</t>
        </is>
      </c>
      <c r="I8" s="30" t="inlineStr">
        <is>
          <t>Medical Technology</t>
        </is>
      </c>
      <c r="J8" s="30" t="inlineStr">
        <is>
          <t>Faculty Board (IDRP / AIIMS-IIT Joint)</t>
        </is>
      </c>
      <c r="K8" s="30" t="inlineStr">
        <is>
          <t>m20id005@iitj.ac.in</t>
        </is>
      </c>
      <c r="L8" s="27" t="inlineStr">
        <is>
          <t>-</t>
        </is>
      </c>
      <c r="M8" s="27" t="n">
        <v>0</v>
      </c>
      <c r="N8" s="30" t="inlineStr">
        <is>
          <t>-</t>
        </is>
      </c>
      <c r="O8" s="27" t="n">
        <v>0</v>
      </c>
      <c r="P8" s="30" t="inlineStr">
        <is>
          <t>-</t>
        </is>
      </c>
      <c r="Q8" s="27" t="n">
        <v>0</v>
      </c>
      <c r="R8" s="30" t="inlineStr">
        <is>
          <t>-</t>
        </is>
      </c>
      <c r="S8" s="27" t="n">
        <v>0</v>
      </c>
      <c r="T8" s="30" t="inlineStr">
        <is>
          <t>-</t>
        </is>
      </c>
      <c r="U8" s="27" t="inlineStr">
        <is>
          <t>-</t>
        </is>
      </c>
      <c r="V8" s="27" t="inlineStr">
        <is>
          <t>-</t>
        </is>
      </c>
      <c r="W8" s="30" t="inlineStr">
        <is>
          <t>Centre for Medical Technologies (IDRP)</t>
        </is>
      </c>
      <c r="X8" s="30" t="inlineStr">
        <is>
          <t>IIT Jodhpur Permanent Campus, NH 62, Karwar</t>
        </is>
      </c>
      <c r="Y8" s="27" t="inlineStr">
        <is>
          <t>Jodhpur</t>
        </is>
      </c>
      <c r="Z8" s="27" t="inlineStr">
        <is>
          <t>Rajasthan</t>
        </is>
      </c>
      <c r="AA8" s="27" t="inlineStr">
        <is>
          <t>342030</t>
        </is>
      </c>
      <c r="AB8" s="30" t="inlineStr">
        <is>
          <t>Official Cohort Registry (IIT Jodhpur MedTech Portal)</t>
        </is>
      </c>
    </row>
    <row r="9" ht="20" customHeight="1">
      <c r="A9" s="21" t="n">
        <v>5</v>
      </c>
      <c r="B9" s="22" t="inlineStr">
        <is>
          <t>M20ID008</t>
        </is>
      </c>
      <c r="C9" s="23" t="inlineStr">
        <is>
          <t>Thilak Chakaravarthi E</t>
        </is>
      </c>
      <c r="D9" s="21" t="inlineStr">
        <is>
          <t>Masters</t>
        </is>
      </c>
      <c r="E9" s="24" t="inlineStr">
        <is>
          <t>M.Tech in Medical Technology</t>
        </is>
      </c>
      <c r="F9" s="21" t="n">
        <v>2020</v>
      </c>
      <c r="G9" s="21" t="n">
        <v>2022</v>
      </c>
      <c r="H9" s="25" t="inlineStr">
        <is>
          <t>Alumni</t>
        </is>
      </c>
      <c r="I9" s="24" t="inlineStr">
        <is>
          <t>Electromechanical Cartilage Reshaping &amp; Bio-MEMS</t>
        </is>
      </c>
      <c r="J9" s="24" t="inlineStr">
        <is>
          <t>Prof. Ajay Agarwal (IIT Jodhpur)</t>
        </is>
      </c>
      <c r="K9" s="24" t="inlineStr">
        <is>
          <t>m20id008@iitj.ac.in</t>
        </is>
      </c>
      <c r="L9" s="21" t="inlineStr">
        <is>
          <t>-</t>
        </is>
      </c>
      <c r="M9" s="21" t="n">
        <v>0</v>
      </c>
      <c r="N9" s="24" t="inlineStr">
        <is>
          <t>-</t>
        </is>
      </c>
      <c r="O9" s="21" t="n">
        <v>0</v>
      </c>
      <c r="P9" s="24" t="inlineStr">
        <is>
          <t>-</t>
        </is>
      </c>
      <c r="Q9" s="26" t="n">
        <v>1</v>
      </c>
      <c r="R9" s="24" t="inlineStr">
        <is>
          <t>Caldor Health Technologies Pvt. Ltd. (Co-Founder)</t>
        </is>
      </c>
      <c r="S9" s="26" t="n">
        <v>2</v>
      </c>
      <c r="T9" s="24" t="inlineStr">
        <is>
          <t>US$100,000 raised for SWASAM ; MSME grant</t>
        </is>
      </c>
      <c r="U9" s="21" t="inlineStr">
        <is>
          <t>-</t>
        </is>
      </c>
      <c r="V9" s="21" t="inlineStr">
        <is>
          <t>-</t>
        </is>
      </c>
      <c r="W9" s="24" t="inlineStr">
        <is>
          <t>Centre for Medical Technologies (IDRP)</t>
        </is>
      </c>
      <c r="X9" s="24" t="inlineStr">
        <is>
          <t>IIT Jodhpur Permanent Campus, NH 62, Karwar</t>
        </is>
      </c>
      <c r="Y9" s="21" t="inlineStr">
        <is>
          <t>Jodhpur</t>
        </is>
      </c>
      <c r="Z9" s="21" t="inlineStr">
        <is>
          <t>Rajasthan</t>
        </is>
      </c>
      <c r="AA9" s="21" t="inlineStr">
        <is>
          <t>342030</t>
        </is>
      </c>
      <c r="AB9" s="24" t="inlineStr">
        <is>
          <t>Official Cohort Registry (IIT Jodhpur MedTech Portal)</t>
        </is>
      </c>
    </row>
    <row r="10" ht="20" customHeight="1">
      <c r="A10" s="27" t="n">
        <v>6</v>
      </c>
      <c r="B10" s="28" t="inlineStr">
        <is>
          <t>M20ID009</t>
        </is>
      </c>
      <c r="C10" s="29" t="inlineStr">
        <is>
          <t>Rajshree</t>
        </is>
      </c>
      <c r="D10" s="27" t="inlineStr">
        <is>
          <t>Masters</t>
        </is>
      </c>
      <c r="E10" s="30" t="inlineStr">
        <is>
          <t>M.Tech in Medical Technology</t>
        </is>
      </c>
      <c r="F10" s="27" t="n">
        <v>2020</v>
      </c>
      <c r="G10" s="27" t="n">
        <v>2022</v>
      </c>
      <c r="H10" s="25" t="inlineStr">
        <is>
          <t>Alumni</t>
        </is>
      </c>
      <c r="I10" s="30" t="inlineStr">
        <is>
          <t>Medical Technology</t>
        </is>
      </c>
      <c r="J10" s="30" t="inlineStr">
        <is>
          <t>Faculty Board (IDRP / AIIMS-IIT Joint)</t>
        </is>
      </c>
      <c r="K10" s="30" t="inlineStr">
        <is>
          <t>m20id009@iitj.ac.in</t>
        </is>
      </c>
      <c r="L10" s="27" t="inlineStr">
        <is>
          <t>-</t>
        </is>
      </c>
      <c r="M10" s="27" t="n">
        <v>0</v>
      </c>
      <c r="N10" s="30" t="inlineStr">
        <is>
          <t>-</t>
        </is>
      </c>
      <c r="O10" s="27" t="n">
        <v>0</v>
      </c>
      <c r="P10" s="30" t="inlineStr">
        <is>
          <t>-</t>
        </is>
      </c>
      <c r="Q10" s="27" t="n">
        <v>0</v>
      </c>
      <c r="R10" s="30" t="inlineStr">
        <is>
          <t>-</t>
        </is>
      </c>
      <c r="S10" s="27" t="n">
        <v>0</v>
      </c>
      <c r="T10" s="30" t="inlineStr">
        <is>
          <t>-</t>
        </is>
      </c>
      <c r="U10" s="27" t="inlineStr">
        <is>
          <t>-</t>
        </is>
      </c>
      <c r="V10" s="27" t="inlineStr">
        <is>
          <t>-</t>
        </is>
      </c>
      <c r="W10" s="30" t="inlineStr">
        <is>
          <t>Centre for Medical Technologies (IDRP)</t>
        </is>
      </c>
      <c r="X10" s="30" t="inlineStr">
        <is>
          <t>IIT Jodhpur Permanent Campus, NH 62, Karwar</t>
        </is>
      </c>
      <c r="Y10" s="27" t="inlineStr">
        <is>
          <t>Jodhpur</t>
        </is>
      </c>
      <c r="Z10" s="27" t="inlineStr">
        <is>
          <t>Rajasthan</t>
        </is>
      </c>
      <c r="AA10" s="27" t="inlineStr">
        <is>
          <t>342030</t>
        </is>
      </c>
      <c r="AB10" s="30" t="inlineStr">
        <is>
          <t>Official Cohort Registry (IIT Jodhpur MedTech Portal)</t>
        </is>
      </c>
    </row>
    <row r="11" ht="20" customHeight="1">
      <c r="A11" s="21" t="n">
        <v>7</v>
      </c>
      <c r="B11" s="22" t="inlineStr">
        <is>
          <t>P20ID002</t>
        </is>
      </c>
      <c r="C11" s="23" t="inlineStr">
        <is>
          <t>Kanika Singroha</t>
        </is>
      </c>
      <c r="D11" s="21" t="inlineStr">
        <is>
          <t>PhD</t>
        </is>
      </c>
      <c r="E11" s="24" t="inlineStr">
        <is>
          <t>Ph.D. in Medical Technology</t>
        </is>
      </c>
      <c r="F11" s="21" t="n">
        <v>2020</v>
      </c>
      <c r="G11" s="21" t="n">
        <v>2025</v>
      </c>
      <c r="H11" s="25" t="inlineStr">
        <is>
          <t>Alumni</t>
        </is>
      </c>
      <c r="I11" s="24" t="inlineStr">
        <is>
          <t>3D Bioprinting, Modular Bioinks &amp; Regenerative Medicine</t>
        </is>
      </c>
      <c r="J11" s="24" t="inlineStr">
        <is>
          <t>Dr. Indranil Banerjee (IIT Jodhpur) &amp; Dr. Shilpi Gupta Dixit (AIIMS Jodhpur)</t>
        </is>
      </c>
      <c r="K11" s="24" t="inlineStr">
        <is>
          <t>p20id002@iitj.ac.in</t>
        </is>
      </c>
      <c r="L11" s="21" t="inlineStr">
        <is>
          <t>-</t>
        </is>
      </c>
      <c r="M11" s="21" t="n">
        <v>0</v>
      </c>
      <c r="N11" s="24" t="inlineStr">
        <is>
          <t>-</t>
        </is>
      </c>
      <c r="O11" s="26" t="n">
        <v>1</v>
      </c>
      <c r="P11" s="24" t="inlineStr">
        <is>
          <t>App #202511037139: Quadruple High-Performance Modular Bioink for 3D Bioprinting (Filed) | Apps 202511037139, 202511037986: 3D Bioprinting Quadruple Modular Bioink &amp; Cell Suspensor</t>
        </is>
      </c>
      <c r="Q11" s="26" t="n">
        <v>1</v>
      </c>
      <c r="R11" s="24" t="inlineStr">
        <is>
          <t>Cellverse Pvt. Ltd. (Co-Founder, Incubated) | Cellverse Pvt. Ltd. (Director &amp; Co-Founder)</t>
        </is>
      </c>
      <c r="S11" s="26" t="n">
        <v>1</v>
      </c>
      <c r="T11" s="24" t="inlineStr">
        <is>
          <t>Recognition of Excellence in Young Alumni Award</t>
        </is>
      </c>
      <c r="U11" s="21" t="inlineStr">
        <is>
          <t>-</t>
        </is>
      </c>
      <c r="V11" s="21" t="inlineStr">
        <is>
          <t>-</t>
        </is>
      </c>
      <c r="W11" s="24" t="inlineStr">
        <is>
          <t>Centre for Medical Technologies (IDRP)</t>
        </is>
      </c>
      <c r="X11" s="24" t="inlineStr">
        <is>
          <t>IIT Jodhpur Permanent Campus, NH 62, Karwar</t>
        </is>
      </c>
      <c r="Y11" s="21" t="inlineStr">
        <is>
          <t>Jodhpur</t>
        </is>
      </c>
      <c r="Z11" s="21" t="inlineStr">
        <is>
          <t>Rajasthan</t>
        </is>
      </c>
      <c r="AA11" s="21" t="inlineStr">
        <is>
          <t>342030</t>
        </is>
      </c>
      <c r="AB11" s="24" t="inlineStr">
        <is>
          <t>Official Cohort Registry (IIT Jodhpur MedTech Portal)</t>
        </is>
      </c>
    </row>
    <row r="12" ht="20" customHeight="1">
      <c r="A12" s="27" t="n">
        <v>8</v>
      </c>
      <c r="B12" s="28" t="inlineStr">
        <is>
          <t>P20ID003</t>
        </is>
      </c>
      <c r="C12" s="29" t="inlineStr">
        <is>
          <t>Dushyant Agrawal</t>
        </is>
      </c>
      <c r="D12" s="27" t="inlineStr">
        <is>
          <t>PhD</t>
        </is>
      </c>
      <c r="E12" s="30" t="inlineStr">
        <is>
          <t>Ph.D. in Medical Technology</t>
        </is>
      </c>
      <c r="F12" s="27" t="n">
        <v>2020</v>
      </c>
      <c r="G12" s="27" t="n">
        <v>2025</v>
      </c>
      <c r="H12" s="25" t="inlineStr">
        <is>
          <t>Alumni</t>
        </is>
      </c>
      <c r="I12" s="30" t="inlineStr">
        <is>
          <t>Medical Technology</t>
        </is>
      </c>
      <c r="J12" s="30" t="inlineStr">
        <is>
          <t>Faculty Board (IDRP / AIIMS-IIT Joint)</t>
        </is>
      </c>
      <c r="K12" s="30" t="inlineStr">
        <is>
          <t>p20id003@iitj.ac.in</t>
        </is>
      </c>
      <c r="L12" s="27" t="inlineStr">
        <is>
          <t>-</t>
        </is>
      </c>
      <c r="M12" s="27" t="n">
        <v>0</v>
      </c>
      <c r="N12" s="30" t="inlineStr">
        <is>
          <t>-</t>
        </is>
      </c>
      <c r="O12" s="27" t="n">
        <v>0</v>
      </c>
      <c r="P12" s="30" t="inlineStr">
        <is>
          <t>-</t>
        </is>
      </c>
      <c r="Q12" s="27" t="n">
        <v>0</v>
      </c>
      <c r="R12" s="30" t="inlineStr">
        <is>
          <t>-</t>
        </is>
      </c>
      <c r="S12" s="27" t="n">
        <v>0</v>
      </c>
      <c r="T12" s="30" t="inlineStr">
        <is>
          <t>-</t>
        </is>
      </c>
      <c r="U12" s="27" t="inlineStr">
        <is>
          <t>-</t>
        </is>
      </c>
      <c r="V12" s="27" t="inlineStr">
        <is>
          <t>-</t>
        </is>
      </c>
      <c r="W12" s="30" t="inlineStr">
        <is>
          <t>Centre for Medical Technologies (IDRP)</t>
        </is>
      </c>
      <c r="X12" s="30" t="inlineStr">
        <is>
          <t>IIT Jodhpur Permanent Campus, NH 62, Karwar</t>
        </is>
      </c>
      <c r="Y12" s="27" t="inlineStr">
        <is>
          <t>Jodhpur</t>
        </is>
      </c>
      <c r="Z12" s="27" t="inlineStr">
        <is>
          <t>Rajasthan</t>
        </is>
      </c>
      <c r="AA12" s="27" t="inlineStr">
        <is>
          <t>342030</t>
        </is>
      </c>
      <c r="AB12" s="30" t="inlineStr">
        <is>
          <t>Official Cohort Registry (IIT Jodhpur MedTech Portal)</t>
        </is>
      </c>
    </row>
    <row r="13" ht="20" customHeight="1">
      <c r="A13" s="21" t="n">
        <v>9</v>
      </c>
      <c r="B13" s="22" t="inlineStr">
        <is>
          <t>P20ID004</t>
        </is>
      </c>
      <c r="C13" s="23" t="inlineStr">
        <is>
          <t>Gajendra Singh</t>
        </is>
      </c>
      <c r="D13" s="21" t="inlineStr">
        <is>
          <t>PhD</t>
        </is>
      </c>
      <c r="E13" s="24" t="inlineStr">
        <is>
          <t>Ph.D. in Medical Technology</t>
        </is>
      </c>
      <c r="F13" s="21" t="n">
        <v>2020</v>
      </c>
      <c r="G13" s="21" t="n">
        <v>2025</v>
      </c>
      <c r="H13" s="25" t="inlineStr">
        <is>
          <t>Alumni</t>
        </is>
      </c>
      <c r="I13" s="24" t="inlineStr">
        <is>
          <t>Medical Robotics, AI Echocardiography &amp; Multimodal Data Sync</t>
        </is>
      </c>
      <c r="J13" s="24" t="inlineStr">
        <is>
          <t>Dr. Deepak Mishra (IIT Jodhpur) &amp; Dr. Pushpinder Khera (AIIMS Jodhpur)</t>
        </is>
      </c>
      <c r="K13" s="24" t="inlineStr">
        <is>
          <t>singh.117@iitj.ac.in</t>
        </is>
      </c>
      <c r="L13" s="21" t="inlineStr">
        <is>
          <t>-</t>
        </is>
      </c>
      <c r="M13" s="26" t="n">
        <v>3</v>
      </c>
      <c r="N13" s="24" t="inlineStr">
        <is>
          <t>1 Journals, 2 Conferences, 0 Books. Venues: 1. IEEE Sensor Letters
2. ASMUS MICCAI 2025
3. IEEE SAUS 2024 (First Author) | Paper: "Deep Learning-Driven Multimodal Synchronization for Probe-Navigated Echocardiography" | Paper: "ASMUS: Real-Time Point-of-Care Ultrasound Guidance via Multitask Acoustic Transformer" | Paper: "Acoustic Signal Processing and Robot Teleoperation for Pediatric Cardiac Ultrasound"</t>
        </is>
      </c>
      <c r="O13" s="26" t="n">
        <v>2</v>
      </c>
      <c r="P13" s="24" t="inlineStr">
        <is>
          <t>App #202211077085: System and Method for Robot Assisted Echocardiography (Published) | App #202411058458: System for Multimodal Data Acquisition and Synchronization and Method Thereof (Published) | Apps 202211077085, 202411058458, 202511040403: Robot Assisted Echocardiography &amp; Multimodal Data Sync</t>
        </is>
      </c>
      <c r="Q13" s="26" t="n">
        <v>1</v>
      </c>
      <c r="R13" s="24" t="inlineStr">
        <is>
          <t>Visionence Tech Pvt. Ltd. (Co-Founder, Incubated) | Visionence Tech Pvt. Ltd. (Director &amp; Co-Founder)</t>
        </is>
      </c>
      <c r="S13" s="26" t="n">
        <v>1</v>
      </c>
      <c r="T13" s="24" t="inlineStr">
        <is>
          <t>Patent granted</t>
        </is>
      </c>
      <c r="U13" s="21" t="inlineStr">
        <is>
          <t>-</t>
        </is>
      </c>
      <c r="V13" s="21" t="inlineStr">
        <is>
          <t>-</t>
        </is>
      </c>
      <c r="W13" s="24" t="inlineStr">
        <is>
          <t>Centre for Medical Technologies (IDRP)</t>
        </is>
      </c>
      <c r="X13" s="24" t="inlineStr">
        <is>
          <t>IIT Jodhpur Permanent Campus, NH 62, Karwar</t>
        </is>
      </c>
      <c r="Y13" s="21" t="inlineStr">
        <is>
          <t>Jodhpur</t>
        </is>
      </c>
      <c r="Z13" s="21" t="inlineStr">
        <is>
          <t>Rajasthan</t>
        </is>
      </c>
      <c r="AA13" s="21" t="inlineStr">
        <is>
          <t>342030</t>
        </is>
      </c>
      <c r="AB13" s="24" t="inlineStr">
        <is>
          <t>Official Cohort Registry (IIT Jodhpur MedTech Portal)</t>
        </is>
      </c>
    </row>
    <row r="14" ht="20" customHeight="1">
      <c r="A14" s="27" t="n">
        <v>10</v>
      </c>
      <c r="B14" s="28" t="inlineStr">
        <is>
          <t>P20ID005</t>
        </is>
      </c>
      <c r="C14" s="29" t="inlineStr">
        <is>
          <t>Mitanshu Sharma</t>
        </is>
      </c>
      <c r="D14" s="27" t="inlineStr">
        <is>
          <t>PhD</t>
        </is>
      </c>
      <c r="E14" s="30" t="inlineStr">
        <is>
          <t>Ph.D. in Medical Technology</t>
        </is>
      </c>
      <c r="F14" s="27" t="n">
        <v>2020</v>
      </c>
      <c r="G14" s="27" t="n">
        <v>2025</v>
      </c>
      <c r="H14" s="25" t="inlineStr">
        <is>
          <t>Alumni</t>
        </is>
      </c>
      <c r="I14" s="30" t="inlineStr">
        <is>
          <t>Assistive Critical Care &amp; Pressure Ulcer Prevention</t>
        </is>
      </c>
      <c r="J14" s="30" t="inlineStr">
        <is>
          <t>Dr. Shobhana Singh (IIT Jodhpur) &amp; Dr. Nikhil Kothari (AIIMS Jodhpur)</t>
        </is>
      </c>
      <c r="K14" s="30" t="inlineStr">
        <is>
          <t>p20id005@iitj.ac.in</t>
        </is>
      </c>
      <c r="L14" s="27" t="inlineStr">
        <is>
          <t>-</t>
        </is>
      </c>
      <c r="M14" s="27" t="n">
        <v>0</v>
      </c>
      <c r="N14" s="30" t="inlineStr">
        <is>
          <t>-</t>
        </is>
      </c>
      <c r="O14" s="26" t="n">
        <v>1</v>
      </c>
      <c r="P14" s="30" t="inlineStr">
        <is>
          <t>App #202211060577: Pressure Ulcers or Bed Sores Preventing Air Bubble Based Mattress (Published) | App 202211060577: Pressure Ulcers / Bed Sores Preventing Air Bubble Mattress</t>
        </is>
      </c>
      <c r="Q14" s="27" t="n">
        <v>0</v>
      </c>
      <c r="R14" s="30" t="inlineStr">
        <is>
          <t>-</t>
        </is>
      </c>
      <c r="S14" s="27" t="n">
        <v>0</v>
      </c>
      <c r="T14" s="30" t="inlineStr">
        <is>
          <t>-</t>
        </is>
      </c>
      <c r="U14" s="27" t="inlineStr">
        <is>
          <t>-</t>
        </is>
      </c>
      <c r="V14" s="27" t="inlineStr">
        <is>
          <t>-</t>
        </is>
      </c>
      <c r="W14" s="30" t="inlineStr">
        <is>
          <t>Centre for Medical Technologies (IDRP)</t>
        </is>
      </c>
      <c r="X14" s="30" t="inlineStr">
        <is>
          <t>IIT Jodhpur Permanent Campus, NH 62, Karwar</t>
        </is>
      </c>
      <c r="Y14" s="27" t="inlineStr">
        <is>
          <t>Jodhpur</t>
        </is>
      </c>
      <c r="Z14" s="27" t="inlineStr">
        <is>
          <t>Rajasthan</t>
        </is>
      </c>
      <c r="AA14" s="27" t="inlineStr">
        <is>
          <t>342030</t>
        </is>
      </c>
      <c r="AB14" s="30" t="inlineStr">
        <is>
          <t>Official Cohort Registry (IIT Jodhpur MedTech Portal)</t>
        </is>
      </c>
    </row>
    <row r="15" ht="20" customHeight="1">
      <c r="A15" s="21" t="n">
        <v>11</v>
      </c>
      <c r="B15" s="22" t="inlineStr">
        <is>
          <t>P20ID006</t>
        </is>
      </c>
      <c r="C15" s="23" t="inlineStr">
        <is>
          <t>Monika Sharma</t>
        </is>
      </c>
      <c r="D15" s="21" t="inlineStr">
        <is>
          <t>PhD</t>
        </is>
      </c>
      <c r="E15" s="24" t="inlineStr">
        <is>
          <t>Ph.D. in Medical Technology</t>
        </is>
      </c>
      <c r="F15" s="21" t="n">
        <v>2020</v>
      </c>
      <c r="G15" s="21" t="n">
        <v>2025</v>
      </c>
      <c r="H15" s="25" t="inlineStr">
        <is>
          <t>Alumni</t>
        </is>
      </c>
      <c r="I15" s="24" t="inlineStr">
        <is>
          <t>Neuromuscular Assessment &amp; Force-Sensor Biomechanics</t>
        </is>
      </c>
      <c r="J15" s="24" t="inlineStr">
        <is>
          <t>Dr. Pankaj Yadav (IIT Jodhpur)</t>
        </is>
      </c>
      <c r="K15" s="24" t="inlineStr">
        <is>
          <t>p20id006@iitj.ac.in</t>
        </is>
      </c>
      <c r="L15" s="21" t="inlineStr">
        <is>
          <t>-</t>
        </is>
      </c>
      <c r="M15" s="21" t="n">
        <v>0</v>
      </c>
      <c r="N15" s="24" t="inlineStr">
        <is>
          <t>-</t>
        </is>
      </c>
      <c r="O15" s="26" t="n">
        <v>1</v>
      </c>
      <c r="P15" s="24" t="inlineStr">
        <is>
          <t>App 202511106532: Force-Sensor-Based Tapping Device for Neuromuscular Assessment</t>
        </is>
      </c>
      <c r="Q15" s="21" t="n">
        <v>0</v>
      </c>
      <c r="R15" s="24" t="inlineStr">
        <is>
          <t>-</t>
        </is>
      </c>
      <c r="S15" s="26" t="n">
        <v>1</v>
      </c>
      <c r="T15" s="24" t="inlineStr">
        <is>
          <t>IBRO Exchange Fellowship 2026</t>
        </is>
      </c>
      <c r="U15" s="21" t="inlineStr">
        <is>
          <t>-</t>
        </is>
      </c>
      <c r="V15" s="21" t="inlineStr">
        <is>
          <t>-</t>
        </is>
      </c>
      <c r="W15" s="24" t="inlineStr">
        <is>
          <t>Centre for Medical Technologies (IDRP)</t>
        </is>
      </c>
      <c r="X15" s="24" t="inlineStr">
        <is>
          <t>IIT Jodhpur Permanent Campus, NH 62, Karwar</t>
        </is>
      </c>
      <c r="Y15" s="21" t="inlineStr">
        <is>
          <t>Jodhpur</t>
        </is>
      </c>
      <c r="Z15" s="21" t="inlineStr">
        <is>
          <t>Rajasthan</t>
        </is>
      </c>
      <c r="AA15" s="21" t="inlineStr">
        <is>
          <t>342030</t>
        </is>
      </c>
      <c r="AB15" s="24" t="inlineStr">
        <is>
          <t>Official Cohort Registry (IIT Jodhpur MedTech Portal)</t>
        </is>
      </c>
    </row>
    <row r="16" ht="20" customHeight="1">
      <c r="A16" s="27" t="n">
        <v>12</v>
      </c>
      <c r="B16" s="28" t="inlineStr">
        <is>
          <t>P20ID007</t>
        </is>
      </c>
      <c r="C16" s="29" t="inlineStr">
        <is>
          <t>Om Lata Bhagat</t>
        </is>
      </c>
      <c r="D16" s="27" t="inlineStr">
        <is>
          <t>PhD</t>
        </is>
      </c>
      <c r="E16" s="30" t="inlineStr">
        <is>
          <t>Ph.D. in Medical Technology</t>
        </is>
      </c>
      <c r="F16" s="27" t="n">
        <v>2020</v>
      </c>
      <c r="G16" s="27" t="n">
        <v>2025</v>
      </c>
      <c r="H16" s="25" t="inlineStr">
        <is>
          <t>Alumni</t>
        </is>
      </c>
      <c r="I16" s="30" t="inlineStr">
        <is>
          <t>Medical Technology</t>
        </is>
      </c>
      <c r="J16" s="30" t="inlineStr">
        <is>
          <t>Faculty Board (IDRP / AIIMS-IIT Joint)</t>
        </is>
      </c>
      <c r="K16" s="30" t="inlineStr">
        <is>
          <t>p20id007@iitj.ac.in</t>
        </is>
      </c>
      <c r="L16" s="27" t="inlineStr">
        <is>
          <t>-</t>
        </is>
      </c>
      <c r="M16" s="27" t="n">
        <v>0</v>
      </c>
      <c r="N16" s="30" t="inlineStr">
        <is>
          <t>-</t>
        </is>
      </c>
      <c r="O16" s="27" t="n">
        <v>0</v>
      </c>
      <c r="P16" s="30" t="inlineStr">
        <is>
          <t>-</t>
        </is>
      </c>
      <c r="Q16" s="27" t="n">
        <v>0</v>
      </c>
      <c r="R16" s="30" t="inlineStr">
        <is>
          <t>-</t>
        </is>
      </c>
      <c r="S16" s="27" t="n">
        <v>0</v>
      </c>
      <c r="T16" s="30" t="inlineStr">
        <is>
          <t>-</t>
        </is>
      </c>
      <c r="U16" s="27" t="inlineStr">
        <is>
          <t>-</t>
        </is>
      </c>
      <c r="V16" s="27" t="inlineStr">
        <is>
          <t>-</t>
        </is>
      </c>
      <c r="W16" s="30" t="inlineStr">
        <is>
          <t>Centre for Medical Technologies (IDRP)</t>
        </is>
      </c>
      <c r="X16" s="30" t="inlineStr">
        <is>
          <t>IIT Jodhpur Permanent Campus, NH 62, Karwar</t>
        </is>
      </c>
      <c r="Y16" s="27" t="inlineStr">
        <is>
          <t>Jodhpur</t>
        </is>
      </c>
      <c r="Z16" s="27" t="inlineStr">
        <is>
          <t>Rajasthan</t>
        </is>
      </c>
      <c r="AA16" s="27" t="inlineStr">
        <is>
          <t>342030</t>
        </is>
      </c>
      <c r="AB16" s="30" t="inlineStr">
        <is>
          <t>Official Cohort Registry (IIT Jodhpur MedTech Portal)</t>
        </is>
      </c>
    </row>
    <row r="17" ht="20" customHeight="1">
      <c r="A17" s="21" t="n">
        <v>13</v>
      </c>
      <c r="B17" s="22" t="inlineStr">
        <is>
          <t>P20ID009</t>
        </is>
      </c>
      <c r="C17" s="23" t="inlineStr">
        <is>
          <t>Sakshi Malik</t>
        </is>
      </c>
      <c r="D17" s="21" t="inlineStr">
        <is>
          <t>PhD</t>
        </is>
      </c>
      <c r="E17" s="24" t="inlineStr">
        <is>
          <t>Ph.D. in Medical Technology</t>
        </is>
      </c>
      <c r="F17" s="21" t="n">
        <v>2020</v>
      </c>
      <c r="G17" s="21" t="n">
        <v>2025</v>
      </c>
      <c r="H17" s="25" t="inlineStr">
        <is>
          <t>Alumni</t>
        </is>
      </c>
      <c r="I17" s="24" t="inlineStr">
        <is>
          <t>Medical Technology</t>
        </is>
      </c>
      <c r="J17" s="24" t="inlineStr">
        <is>
          <t>Faculty Board (IDRP / AIIMS-IIT Joint)</t>
        </is>
      </c>
      <c r="K17" s="24" t="inlineStr">
        <is>
          <t>p20id009@iitj.ac.in</t>
        </is>
      </c>
      <c r="L17" s="21" t="inlineStr">
        <is>
          <t>-</t>
        </is>
      </c>
      <c r="M17" s="21" t="n">
        <v>0</v>
      </c>
      <c r="N17" s="24" t="inlineStr">
        <is>
          <t>-</t>
        </is>
      </c>
      <c r="O17" s="21" t="n">
        <v>0</v>
      </c>
      <c r="P17" s="24" t="inlineStr">
        <is>
          <t>-</t>
        </is>
      </c>
      <c r="Q17" s="21" t="n">
        <v>0</v>
      </c>
      <c r="R17" s="24" t="inlineStr">
        <is>
          <t>-</t>
        </is>
      </c>
      <c r="S17" s="21" t="n">
        <v>0</v>
      </c>
      <c r="T17" s="24" t="inlineStr">
        <is>
          <t>-</t>
        </is>
      </c>
      <c r="U17" s="21" t="inlineStr">
        <is>
          <t>-</t>
        </is>
      </c>
      <c r="V17" s="21" t="inlineStr">
        <is>
          <t>-</t>
        </is>
      </c>
      <c r="W17" s="24" t="inlineStr">
        <is>
          <t>Centre for Medical Technologies (IDRP)</t>
        </is>
      </c>
      <c r="X17" s="24" t="inlineStr">
        <is>
          <t>IIT Jodhpur Permanent Campus, NH 62, Karwar</t>
        </is>
      </c>
      <c r="Y17" s="21" t="inlineStr">
        <is>
          <t>Jodhpur</t>
        </is>
      </c>
      <c r="Z17" s="21" t="inlineStr">
        <is>
          <t>Rajasthan</t>
        </is>
      </c>
      <c r="AA17" s="21" t="inlineStr">
        <is>
          <t>342030</t>
        </is>
      </c>
      <c r="AB17" s="24" t="inlineStr">
        <is>
          <t>Official Cohort Registry (IIT Jodhpur MedTech Portal)</t>
        </is>
      </c>
    </row>
    <row r="18" ht="20" customHeight="1">
      <c r="A18" s="27" t="n">
        <v>14</v>
      </c>
      <c r="B18" s="28" t="inlineStr">
        <is>
          <t>P20ID010</t>
        </is>
      </c>
      <c r="C18" s="29" t="inlineStr">
        <is>
          <t>Sudesh Pachar</t>
        </is>
      </c>
      <c r="D18" s="27" t="inlineStr">
        <is>
          <t>PhD</t>
        </is>
      </c>
      <c r="E18" s="30" t="inlineStr">
        <is>
          <t>Ph.D. in Medical Technology</t>
        </is>
      </c>
      <c r="F18" s="27" t="n">
        <v>2020</v>
      </c>
      <c r="G18" s="27" t="n">
        <v>2025</v>
      </c>
      <c r="H18" s="25" t="inlineStr">
        <is>
          <t>Alumni</t>
        </is>
      </c>
      <c r="I18" s="30" t="inlineStr">
        <is>
          <t>Medical Technology</t>
        </is>
      </c>
      <c r="J18" s="30" t="inlineStr">
        <is>
          <t>Faculty Board (IDRP / AIIMS-IIT Joint)</t>
        </is>
      </c>
      <c r="K18" s="30" t="inlineStr">
        <is>
          <t>p20id010@iitj.ac.in</t>
        </is>
      </c>
      <c r="L18" s="27" t="inlineStr">
        <is>
          <t>-</t>
        </is>
      </c>
      <c r="M18" s="27" t="n">
        <v>0</v>
      </c>
      <c r="N18" s="30" t="inlineStr">
        <is>
          <t>-</t>
        </is>
      </c>
      <c r="O18" s="27" t="n">
        <v>0</v>
      </c>
      <c r="P18" s="30" t="inlineStr">
        <is>
          <t>-</t>
        </is>
      </c>
      <c r="Q18" s="27" t="n">
        <v>0</v>
      </c>
      <c r="R18" s="30" t="inlineStr">
        <is>
          <t>-</t>
        </is>
      </c>
      <c r="S18" s="27" t="n">
        <v>0</v>
      </c>
      <c r="T18" s="30" t="inlineStr">
        <is>
          <t>-</t>
        </is>
      </c>
      <c r="U18" s="27" t="inlineStr">
        <is>
          <t>-</t>
        </is>
      </c>
      <c r="V18" s="27" t="inlineStr">
        <is>
          <t>-</t>
        </is>
      </c>
      <c r="W18" s="30" t="inlineStr">
        <is>
          <t>Centre for Medical Technologies (IDRP)</t>
        </is>
      </c>
      <c r="X18" s="30" t="inlineStr">
        <is>
          <t>IIT Jodhpur Permanent Campus, NH 62, Karwar</t>
        </is>
      </c>
      <c r="Y18" s="27" t="inlineStr">
        <is>
          <t>Jodhpur</t>
        </is>
      </c>
      <c r="Z18" s="27" t="inlineStr">
        <is>
          <t>Rajasthan</t>
        </is>
      </c>
      <c r="AA18" s="27" t="inlineStr">
        <is>
          <t>342030</t>
        </is>
      </c>
      <c r="AB18" s="30" t="inlineStr">
        <is>
          <t>Official Cohort Registry (IIT Jodhpur MedTech Portal)</t>
        </is>
      </c>
    </row>
    <row r="19" ht="20" customHeight="1">
      <c r="A19" s="21" t="n">
        <v>15</v>
      </c>
      <c r="B19" s="22" t="inlineStr">
        <is>
          <t>P20SH002</t>
        </is>
      </c>
      <c r="C19" s="23" t="inlineStr">
        <is>
          <t>Netra Kirankumar Hiremath</t>
        </is>
      </c>
      <c r="D19" s="21" t="inlineStr">
        <is>
          <t>PhD</t>
        </is>
      </c>
      <c r="E19" s="24" t="inlineStr">
        <is>
          <t>Ph.D. in Medical Technology</t>
        </is>
      </c>
      <c r="F19" s="21" t="n">
        <v>2020</v>
      </c>
      <c r="G19" s="21" t="n">
        <v>2025</v>
      </c>
      <c r="H19" s="31" t="inlineStr">
        <is>
          <t>Active</t>
        </is>
      </c>
      <c r="I19" s="24" t="inlineStr">
        <is>
          <t>Nanomedicine &amp; Biomaterials Science</t>
        </is>
      </c>
      <c r="J19" s="24" t="inlineStr">
        <is>
          <t>Faculty Board (IDRP / School of Health)</t>
        </is>
      </c>
      <c r="K19" s="24" t="inlineStr">
        <is>
          <t>hiremath.1@iitj.ac.in</t>
        </is>
      </c>
      <c r="L19" s="21" t="inlineStr">
        <is>
          <t>+91 97840 55667</t>
        </is>
      </c>
      <c r="M19" s="26" t="n">
        <v>6</v>
      </c>
      <c r="N19" s="24" t="inlineStr">
        <is>
          <t>6 Journals, 0 Conferences, 0 Books. Venues: 1. ACS Applied Nano Materials (2 publications)
2. Biomaterials Science (2 publications)
3. Nanoscale
4. ChemMedChem (Co-Author)</t>
        </is>
      </c>
      <c r="O19" s="21" t="n">
        <v>0</v>
      </c>
      <c r="P19" s="24" t="inlineStr">
        <is>
          <t>-</t>
        </is>
      </c>
      <c r="Q19" s="21" t="n">
        <v>0</v>
      </c>
      <c r="R19" s="24" t="inlineStr">
        <is>
          <t>-</t>
        </is>
      </c>
      <c r="S19" s="21" t="n">
        <v>0</v>
      </c>
      <c r="T19" s="24" t="inlineStr">
        <is>
          <t>-</t>
        </is>
      </c>
      <c r="U19" s="21" t="inlineStr">
        <is>
          <t>1996-03-14</t>
        </is>
      </c>
      <c r="V19" s="21" t="inlineStr">
        <is>
          <t>Female</t>
        </is>
      </c>
      <c r="W19" s="24" t="inlineStr">
        <is>
          <t>Centre for Medical Technologies (IDRP)</t>
        </is>
      </c>
      <c r="X19" s="24" t="inlineStr">
        <is>
          <t>IIT Jodhpur Campus</t>
        </is>
      </c>
      <c r="Y19" s="21" t="inlineStr">
        <is>
          <t>Jodhpur</t>
        </is>
      </c>
      <c r="Z19" s="21" t="inlineStr">
        <is>
          <t>Rajasthan</t>
        </is>
      </c>
      <c r="AA19" s="21" t="inlineStr">
        <is>
          <t>342030</t>
        </is>
      </c>
      <c r="AB19" s="24" t="inlineStr">
        <is>
          <t>Centre for Medical Technologies Seed Registry</t>
        </is>
      </c>
    </row>
    <row r="20" ht="20" customHeight="1">
      <c r="A20" s="27" t="n">
        <v>16</v>
      </c>
      <c r="B20" s="28" t="inlineStr">
        <is>
          <t>P20SH003</t>
        </is>
      </c>
      <c r="C20" s="29" t="inlineStr">
        <is>
          <t>Nikhil Vadera</t>
        </is>
      </c>
      <c r="D20" s="27" t="inlineStr">
        <is>
          <t>PhD</t>
        </is>
      </c>
      <c r="E20" s="30" t="inlineStr">
        <is>
          <t>Ph.D. in Medical Technology</t>
        </is>
      </c>
      <c r="F20" s="27" t="n">
        <v>2020</v>
      </c>
      <c r="G20" s="27" t="n">
        <v>2025</v>
      </c>
      <c r="H20" s="31" t="inlineStr">
        <is>
          <t>Active</t>
        </is>
      </c>
      <c r="I20" s="30" t="inlineStr">
        <is>
          <t>Electrochemical Biosensors &amp; Chemical Sensing</t>
        </is>
      </c>
      <c r="J20" s="30" t="inlineStr">
        <is>
          <t>Faculty Board (IDRP / School of Health)</t>
        </is>
      </c>
      <c r="K20" s="30" t="inlineStr">
        <is>
          <t>vadera.1@iitj.ac.in</t>
        </is>
      </c>
      <c r="L20" s="27" t="inlineStr">
        <is>
          <t>+91 98290 11223</t>
        </is>
      </c>
      <c r="M20" s="26" t="n">
        <v>5</v>
      </c>
      <c r="N20" s="30" t="inlineStr">
        <is>
          <t>3 Journals, 2 Conferences, 0 Books. Venues: 1. Microchemical Journal 
2. ACS Sensors Journal 
3. IEEE Sensors Letters Journal 
4. IEEE APSCON Conference 
5. IEEE Sensors Conference  (First Author)</t>
        </is>
      </c>
      <c r="O20" s="27" t="n">
        <v>0</v>
      </c>
      <c r="P20" s="30" t="inlineStr">
        <is>
          <t>-</t>
        </is>
      </c>
      <c r="Q20" s="27" t="n">
        <v>0</v>
      </c>
      <c r="R20" s="30" t="inlineStr">
        <is>
          <t>-</t>
        </is>
      </c>
      <c r="S20" s="27" t="n">
        <v>0</v>
      </c>
      <c r="T20" s="30" t="inlineStr">
        <is>
          <t>-</t>
        </is>
      </c>
      <c r="U20" s="27" t="inlineStr">
        <is>
          <t>1996-08-20</t>
        </is>
      </c>
      <c r="V20" s="27" t="inlineStr">
        <is>
          <t>Male</t>
        </is>
      </c>
      <c r="W20" s="30" t="inlineStr">
        <is>
          <t>Centre for Medical Technologies (IDRP)</t>
        </is>
      </c>
      <c r="X20" s="30" t="inlineStr">
        <is>
          <t>IIT Jodhpur Campus</t>
        </is>
      </c>
      <c r="Y20" s="27" t="inlineStr">
        <is>
          <t>Jodhpur</t>
        </is>
      </c>
      <c r="Z20" s="27" t="inlineStr">
        <is>
          <t>Rajasthan</t>
        </is>
      </c>
      <c r="AA20" s="27" t="inlineStr">
        <is>
          <t>342030</t>
        </is>
      </c>
      <c r="AB20" s="30" t="inlineStr">
        <is>
          <t>Centre for Medical Technologies Seed Registry</t>
        </is>
      </c>
    </row>
    <row r="21" ht="20" customHeight="1">
      <c r="A21" s="21" t="n">
        <v>17</v>
      </c>
      <c r="B21" s="22" t="inlineStr">
        <is>
          <t>P20SH004</t>
        </is>
      </c>
      <c r="C21" s="23" t="inlineStr">
        <is>
          <t>Ritesh Mishra</t>
        </is>
      </c>
      <c r="D21" s="21" t="inlineStr">
        <is>
          <t>PhD</t>
        </is>
      </c>
      <c r="E21" s="24" t="inlineStr">
        <is>
          <t>Ph.D. in Medical Technology</t>
        </is>
      </c>
      <c r="F21" s="21" t="n">
        <v>2020</v>
      </c>
      <c r="G21" s="21" t="n">
        <v>2025</v>
      </c>
      <c r="H21" s="31" t="inlineStr">
        <is>
          <t>Active</t>
        </is>
      </c>
      <c r="I21" s="24" t="inlineStr">
        <is>
          <t>Plasma Medicine &amp; Agro-Food Quality Diagnostics</t>
        </is>
      </c>
      <c r="J21" s="24" t="inlineStr">
        <is>
          <t>Faculty Board (IDRP / School of Health)</t>
        </is>
      </c>
      <c r="K21" s="24" t="inlineStr">
        <is>
          <t>mishra.15@iitj.ac.in</t>
        </is>
      </c>
      <c r="L21" s="21" t="inlineStr">
        <is>
          <t>+91 94140 33445</t>
        </is>
      </c>
      <c r="M21" s="26" t="n">
        <v>8</v>
      </c>
      <c r="N21" s="24" t="inlineStr">
        <is>
          <t>6 Journals, 1 Conferences, 1 Books. Venues: 1. Food Control 
2. RSC Sustainable Food Technology
3. Irrigation Science
4. Postharvest Biology and Technology
5. Reviews of Modern Plasma Physics
6. Radiation Effects and Defects in Solids (First Author)</t>
        </is>
      </c>
      <c r="O21" s="21" t="n">
        <v>0</v>
      </c>
      <c r="P21" s="24" t="inlineStr">
        <is>
          <t>-</t>
        </is>
      </c>
      <c r="Q21" s="21" t="n">
        <v>0</v>
      </c>
      <c r="R21" s="24" t="inlineStr">
        <is>
          <t>-</t>
        </is>
      </c>
      <c r="S21" s="21" t="n">
        <v>0</v>
      </c>
      <c r="T21" s="24" t="inlineStr">
        <is>
          <t>-</t>
        </is>
      </c>
      <c r="U21" s="21" t="inlineStr">
        <is>
          <t>1995-11-12</t>
        </is>
      </c>
      <c r="V21" s="21" t="inlineStr">
        <is>
          <t>Male</t>
        </is>
      </c>
      <c r="W21" s="24" t="inlineStr">
        <is>
          <t>Centre for Medical Technologies (IDRP)</t>
        </is>
      </c>
      <c r="X21" s="24" t="inlineStr">
        <is>
          <t>IIT Jodhpur Campus</t>
        </is>
      </c>
      <c r="Y21" s="21" t="inlineStr">
        <is>
          <t>Jodhpur</t>
        </is>
      </c>
      <c r="Z21" s="21" t="inlineStr">
        <is>
          <t>Rajasthan</t>
        </is>
      </c>
      <c r="AA21" s="21" t="inlineStr">
        <is>
          <t>342030</t>
        </is>
      </c>
      <c r="AB21" s="24" t="inlineStr">
        <is>
          <t>Centre for Medical Technologies Seed Registry</t>
        </is>
      </c>
    </row>
    <row r="22" ht="20" customHeight="1">
      <c r="A22" s="27" t="n">
        <v>18</v>
      </c>
      <c r="B22" s="28" t="inlineStr">
        <is>
          <t>D20ID001</t>
        </is>
      </c>
      <c r="C22" s="29" t="inlineStr">
        <is>
          <t>Ramkishore Jangid</t>
        </is>
      </c>
      <c r="D22" s="27" t="inlineStr">
        <is>
          <t>Dual Degree</t>
        </is>
      </c>
      <c r="E22" s="30" t="inlineStr">
        <is>
          <t>M.Tech-Ph.D. Dual Degree in Medical Technology</t>
        </is>
      </c>
      <c r="F22" s="27" t="n">
        <v>2020</v>
      </c>
      <c r="G22" s="27" t="n">
        <v>2025</v>
      </c>
      <c r="H22" s="25" t="inlineStr">
        <is>
          <t>Alumni</t>
        </is>
      </c>
      <c r="I22" s="30" t="inlineStr">
        <is>
          <t>Endotracheal Instrumentation &amp; Critical Care Devices</t>
        </is>
      </c>
      <c r="J22" s="30" t="inlineStr">
        <is>
          <t>Dr. Shobhana Singh (IIT Jodhpur)</t>
        </is>
      </c>
      <c r="K22" s="30" t="inlineStr">
        <is>
          <t>d20id001@iitj.ac.in</t>
        </is>
      </c>
      <c r="L22" s="27" t="inlineStr">
        <is>
          <t>-</t>
        </is>
      </c>
      <c r="M22" s="27" t="n">
        <v>0</v>
      </c>
      <c r="N22" s="30" t="inlineStr">
        <is>
          <t>-</t>
        </is>
      </c>
      <c r="O22" s="27" t="n">
        <v>0</v>
      </c>
      <c r="P22" s="30" t="inlineStr">
        <is>
          <t>-</t>
        </is>
      </c>
      <c r="Q22" s="26" t="n">
        <v>1</v>
      </c>
      <c r="R22" s="30" t="inlineStr">
        <is>
          <t>Medvocare Pvt. Ltd. (Director &amp; Co-Founder)</t>
        </is>
      </c>
      <c r="S22" s="27" t="n">
        <v>0</v>
      </c>
      <c r="T22" s="30" t="inlineStr">
        <is>
          <t>-</t>
        </is>
      </c>
      <c r="U22" s="27" t="inlineStr">
        <is>
          <t>-</t>
        </is>
      </c>
      <c r="V22" s="27" t="inlineStr">
        <is>
          <t>-</t>
        </is>
      </c>
      <c r="W22" s="30" t="inlineStr">
        <is>
          <t>Centre for Medical Technologies (IDRP)</t>
        </is>
      </c>
      <c r="X22" s="30" t="inlineStr">
        <is>
          <t>IIT Jodhpur Permanent Campus, NH 62, Karwar</t>
        </is>
      </c>
      <c r="Y22" s="27" t="inlineStr">
        <is>
          <t>Jodhpur</t>
        </is>
      </c>
      <c r="Z22" s="27" t="inlineStr">
        <is>
          <t>Rajasthan</t>
        </is>
      </c>
      <c r="AA22" s="27" t="inlineStr">
        <is>
          <t>342030</t>
        </is>
      </c>
      <c r="AB22" s="30" t="inlineStr">
        <is>
          <t>Official Cohort Registry (IIT Jodhpur MedTech Portal)</t>
        </is>
      </c>
    </row>
    <row r="23" ht="20" customHeight="1">
      <c r="A23" s="21" t="n">
        <v>19</v>
      </c>
      <c r="B23" s="22" t="inlineStr">
        <is>
          <t>D20ID003</t>
        </is>
      </c>
      <c r="C23" s="23" t="inlineStr">
        <is>
          <t>Justy N Francis</t>
        </is>
      </c>
      <c r="D23" s="21" t="inlineStr">
        <is>
          <t>Dual Degree</t>
        </is>
      </c>
      <c r="E23" s="24" t="inlineStr">
        <is>
          <t>M.Tech-Ph.D. Dual Degree in Medical Technology</t>
        </is>
      </c>
      <c r="F23" s="21" t="n">
        <v>2020</v>
      </c>
      <c r="G23" s="21" t="n">
        <v>2025</v>
      </c>
      <c r="H23" s="25" t="inlineStr">
        <is>
          <t>Alumni</t>
        </is>
      </c>
      <c r="I23" s="24" t="inlineStr">
        <is>
          <t>Osteogenic-Angiogenic Biomaterials &amp; Craniofacial Implants</t>
        </is>
      </c>
      <c r="J23" s="24" t="inlineStr">
        <is>
          <t>Dr. Jaiveer Singh (IIT Jodhpur) &amp; Dr. Ankita Chugh (AIIMS Jodhpur)</t>
        </is>
      </c>
      <c r="K23" s="24" t="inlineStr">
        <is>
          <t>francis.1@iitj.ac.in</t>
        </is>
      </c>
      <c r="L23" s="21" t="inlineStr">
        <is>
          <t>-</t>
        </is>
      </c>
      <c r="M23" s="26" t="n">
        <v>3</v>
      </c>
      <c r="N23" s="24" t="inlineStr">
        <is>
          <t>3 Journals, 0 Conferences, 0 Books. Venues: Polymer Composites, Materials Chemistry and Physics (First Author) | Paper: "Bioactive Polymeric Composites for Craniofacial Fracture Fixation and Guided Tissue Regeneration"</t>
        </is>
      </c>
      <c r="O23" s="26" t="n">
        <v>1</v>
      </c>
      <c r="P23" s="24" t="inlineStr">
        <is>
          <t>App #202511040294: An Osteogenic-Angiogenic Composition and Implementations Thereof (Filed) | App 202511040294: Osteogenic-Angiogenic Implant Composition</t>
        </is>
      </c>
      <c r="Q23" s="21" t="n">
        <v>0</v>
      </c>
      <c r="R23" s="24" t="inlineStr">
        <is>
          <t>-</t>
        </is>
      </c>
      <c r="S23" s="21" t="n">
        <v>0</v>
      </c>
      <c r="T23" s="24" t="inlineStr">
        <is>
          <t>-</t>
        </is>
      </c>
      <c r="U23" s="21" t="inlineStr">
        <is>
          <t>-</t>
        </is>
      </c>
      <c r="V23" s="21" t="inlineStr">
        <is>
          <t>-</t>
        </is>
      </c>
      <c r="W23" s="24" t="inlineStr">
        <is>
          <t>Centre for Medical Technologies (IDRP)</t>
        </is>
      </c>
      <c r="X23" s="24" t="inlineStr">
        <is>
          <t>IIT Jodhpur Permanent Campus, NH 62, Karwar</t>
        </is>
      </c>
      <c r="Y23" s="21" t="inlineStr">
        <is>
          <t>Jodhpur</t>
        </is>
      </c>
      <c r="Z23" s="21" t="inlineStr">
        <is>
          <t>Rajasthan</t>
        </is>
      </c>
      <c r="AA23" s="21" t="inlineStr">
        <is>
          <t>342030</t>
        </is>
      </c>
      <c r="AB23" s="24" t="inlineStr">
        <is>
          <t>Official Cohort Registry (IIT Jodhpur MedTech Portal)</t>
        </is>
      </c>
    </row>
    <row r="24" ht="20" customHeight="1">
      <c r="A24" s="27" t="n">
        <v>20</v>
      </c>
      <c r="B24" s="28" t="inlineStr">
        <is>
          <t>D20ID004</t>
        </is>
      </c>
      <c r="C24" s="29" t="inlineStr">
        <is>
          <t>Misaal Khan</t>
        </is>
      </c>
      <c r="D24" s="27" t="inlineStr">
        <is>
          <t>Dual Degree</t>
        </is>
      </c>
      <c r="E24" s="30" t="inlineStr">
        <is>
          <t>M.Tech-Ph.D. Dual Degree in Medical Technology</t>
        </is>
      </c>
      <c r="F24" s="27" t="n">
        <v>2020</v>
      </c>
      <c r="G24" s="27" t="n">
        <v>2025</v>
      </c>
      <c r="H24" s="25" t="inlineStr">
        <is>
          <t>Alumni</t>
        </is>
      </c>
      <c r="I24" s="30" t="inlineStr">
        <is>
          <t>AI in Healthcare, Pediatric Malnutrition &amp; Graph Neural Networks</t>
        </is>
      </c>
      <c r="J24" s="30" t="inlineStr">
        <is>
          <t>Prof. Richa Singh (IIT Jodhpur), Prof. Mayank Vatsa (IIT Jodhpur) &amp; Dr. Kuldeep Singh (AIIMS Jodhpur)</t>
        </is>
      </c>
      <c r="K24" s="30" t="inlineStr">
        <is>
          <t>khan.9@iitj.ac.in</t>
        </is>
      </c>
      <c r="L24" s="27" t="inlineStr">
        <is>
          <t>+91 94140 82910</t>
        </is>
      </c>
      <c r="M24" s="26" t="n">
        <v>6</v>
      </c>
      <c r="N24" s="30" t="inlineStr">
        <is>
          <t>1 Journals, 4 Conferences, 1 Books. Venues: 1 . Frontiers in Public Health 
2. IJCAI 2023
3. MICCAI 2024
4. AAAI 2026
5. WACV 2026
No book chapter (First Author) | Paper: "AI-Assisted Malnutrition and Pediatric Growth Deficit Assessment in Rural Cohorts: A Field-Validated Study" | Paper: "Deep Multi-View Graph Learning for Pediatric Anthropometry and Health Indices Prediction" | Paper: "Cross-Modality Contrastive Representation for 3D Pediatric Anthropometry from Single RGB-D Feeds" | Paper: "Generative Clinical Graph Networks for Undernutrition Surveillance in Low-Resource Primary Care" | Paper: "Self-Supervised Anatomical Landmark Estimation for Point-of-Care Child Stunting Diagnosis"</t>
        </is>
      </c>
      <c r="O24" s="26" t="n">
        <v>1</v>
      </c>
      <c r="P24" s="30" t="inlineStr">
        <is>
          <t>App #202511127461: System and Method for Assisting Malnutrition Assessment Using Graph Neural Networks (Published) | Apps 202411076128, 202511127461: AI Pediatric Nutritional Assessment System</t>
        </is>
      </c>
      <c r="Q24" s="26" t="n">
        <v>1</v>
      </c>
      <c r="R24" s="30" t="inlineStr">
        <is>
          <t>NutriAI HealthTech Solutions (Student Co-Founder &amp; CTO, Pre-Incubatee) | NutriAI HealthTech Solutions (Student Co-Founder &amp; CTO)</t>
        </is>
      </c>
      <c r="S24" s="26" t="n">
        <v>1</v>
      </c>
      <c r="T24" s="30" t="inlineStr">
        <is>
          <t>Prime Minister's Research Fellowship (PMRF) 2022</t>
        </is>
      </c>
      <c r="U24" s="27" t="inlineStr">
        <is>
          <t>1997-06-15</t>
        </is>
      </c>
      <c r="V24" s="27" t="inlineStr">
        <is>
          <t>Male</t>
        </is>
      </c>
      <c r="W24" s="30" t="inlineStr">
        <is>
          <t>Centre for Medical Technologies (IDRP)</t>
        </is>
      </c>
      <c r="X24" s="30" t="inlineStr">
        <is>
          <t>Room 312, B3 Hostel, IIT Jodhpur Permanent Campus, NH 62</t>
        </is>
      </c>
      <c r="Y24" s="27" t="inlineStr">
        <is>
          <t>Jodhpur</t>
        </is>
      </c>
      <c r="Z24" s="27" t="inlineStr">
        <is>
          <t>Rajasthan</t>
        </is>
      </c>
      <c r="AA24" s="27" t="inlineStr">
        <is>
          <t>342030</t>
        </is>
      </c>
      <c r="AB24" s="30" t="inlineStr">
        <is>
          <t>Official Cohort Registry (IIT Jodhpur MedTech Portal)</t>
        </is>
      </c>
    </row>
    <row r="25" ht="20" customHeight="1">
      <c r="A25" s="21" t="n">
        <v>21</v>
      </c>
      <c r="B25" s="22" t="inlineStr">
        <is>
          <t>D20ID005</t>
        </is>
      </c>
      <c r="C25" s="23" t="inlineStr">
        <is>
          <t>Neha Nagarkoti</t>
        </is>
      </c>
      <c r="D25" s="21" t="inlineStr">
        <is>
          <t>Dual Degree</t>
        </is>
      </c>
      <c r="E25" s="24" t="inlineStr">
        <is>
          <t>M.Tech-Ph.D. Dual Degree in Medical Technology</t>
        </is>
      </c>
      <c r="F25" s="21" t="n">
        <v>2020</v>
      </c>
      <c r="G25" s="21" t="n">
        <v>2025</v>
      </c>
      <c r="H25" s="25" t="inlineStr">
        <is>
          <t>Alumni</t>
        </is>
      </c>
      <c r="I25" s="24" t="inlineStr">
        <is>
          <t>Neonatal Transport Incubators &amp; Thermal Regulation Systems</t>
        </is>
      </c>
      <c r="J25" s="24" t="inlineStr">
        <is>
          <t>Dr. Kaushal A. Desai (IIT Jodhpur) &amp; Dr. Neeraj Gupta (AIIMS Jodhpur)</t>
        </is>
      </c>
      <c r="K25" s="24" t="inlineStr">
        <is>
          <t>d20id005@iitj.ac.in</t>
        </is>
      </c>
      <c r="L25" s="21" t="inlineStr">
        <is>
          <t>-</t>
        </is>
      </c>
      <c r="M25" s="21" t="n">
        <v>0</v>
      </c>
      <c r="N25" s="24" t="inlineStr">
        <is>
          <t>-</t>
        </is>
      </c>
      <c r="O25" s="26" t="n">
        <v>1</v>
      </c>
      <c r="P25" s="24" t="inlineStr">
        <is>
          <t>App 202511107337: Neonatal Thermal Regulation System &amp; Transport Incubator</t>
        </is>
      </c>
      <c r="Q25" s="21" t="n">
        <v>0</v>
      </c>
      <c r="R25" s="24" t="inlineStr">
        <is>
          <t>-</t>
        </is>
      </c>
      <c r="S25" s="26" t="n">
        <v>2</v>
      </c>
      <c r="T25" s="24" t="inlineStr">
        <is>
          <t>ANRF Maha MedTech Mission grant ; BIRAC BIG grant</t>
        </is>
      </c>
      <c r="U25" s="21" t="inlineStr">
        <is>
          <t>-</t>
        </is>
      </c>
      <c r="V25" s="21" t="inlineStr">
        <is>
          <t>-</t>
        </is>
      </c>
      <c r="W25" s="24" t="inlineStr">
        <is>
          <t>Centre for Medical Technologies (IDRP)</t>
        </is>
      </c>
      <c r="X25" s="24" t="inlineStr">
        <is>
          <t>IIT Jodhpur Permanent Campus, NH 62, Karwar</t>
        </is>
      </c>
      <c r="Y25" s="21" t="inlineStr">
        <is>
          <t>Jodhpur</t>
        </is>
      </c>
      <c r="Z25" s="21" t="inlineStr">
        <is>
          <t>Rajasthan</t>
        </is>
      </c>
      <c r="AA25" s="21" t="inlineStr">
        <is>
          <t>342030</t>
        </is>
      </c>
      <c r="AB25" s="24" t="inlineStr">
        <is>
          <t>Official Cohort Registry (IIT Jodhpur MedTech Portal)</t>
        </is>
      </c>
    </row>
    <row r="26" ht="20" customHeight="1">
      <c r="A26" s="27" t="n">
        <v>22</v>
      </c>
      <c r="B26" s="28" t="inlineStr">
        <is>
          <t>D20ID006</t>
        </is>
      </c>
      <c r="C26" s="29" t="inlineStr">
        <is>
          <t>Saloni Singhal</t>
        </is>
      </c>
      <c r="D26" s="27" t="inlineStr">
        <is>
          <t>Dual Degree</t>
        </is>
      </c>
      <c r="E26" s="30" t="inlineStr">
        <is>
          <t>M.Tech-Ph.D. Dual Degree in Medical Technology</t>
        </is>
      </c>
      <c r="F26" s="27" t="n">
        <v>2020</v>
      </c>
      <c r="G26" s="27" t="n">
        <v>2025</v>
      </c>
      <c r="H26" s="25" t="inlineStr">
        <is>
          <t>Alumni</t>
        </is>
      </c>
      <c r="I26" s="30" t="inlineStr">
        <is>
          <t>Paper-Based Analytical Devices (PADs) &amp; Glucose Biosensors</t>
        </is>
      </c>
      <c r="J26" s="30" t="inlineStr">
        <is>
          <t>Dr. Ankur Gupta (IIT Jodhpur) &amp; Dr. Saptarshi Mandal (AIIMS Jodhpur)</t>
        </is>
      </c>
      <c r="K26" s="30" t="inlineStr">
        <is>
          <t>d20id006@iitj.ac.in</t>
        </is>
      </c>
      <c r="L26" s="27" t="inlineStr">
        <is>
          <t>-</t>
        </is>
      </c>
      <c r="M26" s="27" t="n">
        <v>0</v>
      </c>
      <c r="N26" s="30" t="inlineStr">
        <is>
          <t>-</t>
        </is>
      </c>
      <c r="O26" s="26" t="n">
        <v>1</v>
      </c>
      <c r="P26" s="30" t="inlineStr">
        <is>
          <t>App #202511116826: A Paper-Based Analytical Device (PAD) for Blood Typing and Method Thereof (Filed) | Apps 202511041154 (Granted), 202511046430 (Granted), 202511064909 (Granted), 202511072465, 202511116826: Paper-Based Biosensors &amp; Hematocrit Diagnostic Devices</t>
        </is>
      </c>
      <c r="Q26" s="27" t="n">
        <v>0</v>
      </c>
      <c r="R26" s="30" t="inlineStr">
        <is>
          <t>-</t>
        </is>
      </c>
      <c r="S26" s="26" t="n">
        <v>1</v>
      </c>
      <c r="T26" s="30" t="inlineStr">
        <is>
          <t>Indian patent granted</t>
        </is>
      </c>
      <c r="U26" s="27" t="inlineStr">
        <is>
          <t>-</t>
        </is>
      </c>
      <c r="V26" s="27" t="inlineStr">
        <is>
          <t>-</t>
        </is>
      </c>
      <c r="W26" s="30" t="inlineStr">
        <is>
          <t>Centre for Medical Technologies (IDRP)</t>
        </is>
      </c>
      <c r="X26" s="30" t="inlineStr">
        <is>
          <t>IIT Jodhpur Permanent Campus, NH 62, Karwar</t>
        </is>
      </c>
      <c r="Y26" s="27" t="inlineStr">
        <is>
          <t>Jodhpur</t>
        </is>
      </c>
      <c r="Z26" s="27" t="inlineStr">
        <is>
          <t>Rajasthan</t>
        </is>
      </c>
      <c r="AA26" s="27" t="inlineStr">
        <is>
          <t>342030</t>
        </is>
      </c>
      <c r="AB26" s="30" t="inlineStr">
        <is>
          <t>Official Cohort Registry (IIT Jodhpur MedTech Portal)</t>
        </is>
      </c>
    </row>
    <row r="27" ht="20" customHeight="1">
      <c r="A27" s="21" t="n">
        <v>23</v>
      </c>
      <c r="B27" s="22" t="inlineStr">
        <is>
          <t>D20ID007</t>
        </is>
      </c>
      <c r="C27" s="23" t="inlineStr">
        <is>
          <t>Sambit Kumar Keshi</t>
        </is>
      </c>
      <c r="D27" s="21" t="inlineStr">
        <is>
          <t>Dual Degree</t>
        </is>
      </c>
      <c r="E27" s="24" t="inlineStr">
        <is>
          <t>M.Tech-Ph.D. Dual Degree in Medical Technology</t>
        </is>
      </c>
      <c r="F27" s="21" t="n">
        <v>2020</v>
      </c>
      <c r="G27" s="21" t="n">
        <v>2025</v>
      </c>
      <c r="H27" s="25" t="inlineStr">
        <is>
          <t>Alumni</t>
        </is>
      </c>
      <c r="I27" s="24" t="inlineStr">
        <is>
          <t>Acoustic Sensors &amp; Kavak Sensorium Diagnostics</t>
        </is>
      </c>
      <c r="J27" s="24" t="inlineStr">
        <is>
          <t>Prof. Ajay Agarwal (IIT Jodhpur)</t>
        </is>
      </c>
      <c r="K27" s="24" t="inlineStr">
        <is>
          <t>d20id007@iitj.ac.in</t>
        </is>
      </c>
      <c r="L27" s="21" t="inlineStr">
        <is>
          <t>-</t>
        </is>
      </c>
      <c r="M27" s="21" t="n">
        <v>0</v>
      </c>
      <c r="N27" s="24" t="inlineStr">
        <is>
          <t>-</t>
        </is>
      </c>
      <c r="O27" s="21" t="n">
        <v>0</v>
      </c>
      <c r="P27" s="24" t="inlineStr">
        <is>
          <t>-</t>
        </is>
      </c>
      <c r="Q27" s="26" t="n">
        <v>1</v>
      </c>
      <c r="R27" s="24" t="inlineStr">
        <is>
          <t>Sarbit Innovations Pvt. Ltd. (Director &amp; Co-Founder)</t>
        </is>
      </c>
      <c r="S27" s="26" t="n">
        <v>2</v>
      </c>
      <c r="T27" s="24" t="inlineStr">
        <is>
          <t>Arohan 5.0 seed support scheme ; MSME Idea Hackathon 4.0 grants</t>
        </is>
      </c>
      <c r="U27" s="21" t="inlineStr">
        <is>
          <t>-</t>
        </is>
      </c>
      <c r="V27" s="21" t="inlineStr">
        <is>
          <t>-</t>
        </is>
      </c>
      <c r="W27" s="24" t="inlineStr">
        <is>
          <t>Centre for Medical Technologies (IDRP)</t>
        </is>
      </c>
      <c r="X27" s="24" t="inlineStr">
        <is>
          <t>IIT Jodhpur Permanent Campus, NH 62, Karwar</t>
        </is>
      </c>
      <c r="Y27" s="21" t="inlineStr">
        <is>
          <t>Jodhpur</t>
        </is>
      </c>
      <c r="Z27" s="21" t="inlineStr">
        <is>
          <t>Rajasthan</t>
        </is>
      </c>
      <c r="AA27" s="21" t="inlineStr">
        <is>
          <t>342030</t>
        </is>
      </c>
      <c r="AB27" s="24" t="inlineStr">
        <is>
          <t>Official Cohort Registry (IIT Jodhpur MedTech Portal)</t>
        </is>
      </c>
    </row>
    <row r="28" ht="20" customHeight="1">
      <c r="A28" s="27" t="n">
        <v>24</v>
      </c>
      <c r="B28" s="28" t="inlineStr">
        <is>
          <t>D20ID008</t>
        </is>
      </c>
      <c r="C28" s="29" t="inlineStr">
        <is>
          <t>Sarmistha Mazumder</t>
        </is>
      </c>
      <c r="D28" s="27" t="inlineStr">
        <is>
          <t>Dual Degree</t>
        </is>
      </c>
      <c r="E28" s="30" t="inlineStr">
        <is>
          <t>M.Tech-Ph.D. Dual Degree in Medical Technology</t>
        </is>
      </c>
      <c r="F28" s="27" t="n">
        <v>2020</v>
      </c>
      <c r="G28" s="27" t="n">
        <v>2025</v>
      </c>
      <c r="H28" s="25" t="inlineStr">
        <is>
          <t>Alumni</t>
        </is>
      </c>
      <c r="I28" s="30" t="inlineStr">
        <is>
          <t>NIR Light-Activatable Biomimetic Phototherapy Systems</t>
        </is>
      </c>
      <c r="J28" s="30" t="inlineStr">
        <is>
          <t>Dr. Raviraj Vankayala (IIT Jodhpur)</t>
        </is>
      </c>
      <c r="K28" s="30" t="inlineStr">
        <is>
          <t>mazumder.3@iitj.ac.in</t>
        </is>
      </c>
      <c r="L28" s="27" t="inlineStr">
        <is>
          <t>-</t>
        </is>
      </c>
      <c r="M28" s="26" t="n">
        <v>7</v>
      </c>
      <c r="N28" s="30" t="inlineStr">
        <is>
          <t>5 Journals, 0 Conferences, 2 Books. Venues: Frontiers in Chemistry, RSC advances, ACS ES&amp;T Water, Chemistry- An Asian Journal, ACS Applied Nanomaterials
Elsevier (Book chapters)  (First Author) | Paper: "Near-Infrared Light-Triggered Nanoplatform for Targeted Tumor Photothermal Ablation"</t>
        </is>
      </c>
      <c r="O28" s="26" t="n">
        <v>1</v>
      </c>
      <c r="P28" s="30" t="inlineStr">
        <is>
          <t>App #202511113643: Near Infrared Light Activatable Biomimetic Drug Delivery System for Targeted Phototherapy (Filed) | App 202511113643: Near Infrared Light Activatable Biomimetic Phototherapy System</t>
        </is>
      </c>
      <c r="Q28" s="27" t="n">
        <v>0</v>
      </c>
      <c r="R28" s="30" t="inlineStr">
        <is>
          <t>-</t>
        </is>
      </c>
      <c r="S28" s="27" t="n">
        <v>0</v>
      </c>
      <c r="T28" s="30" t="inlineStr">
        <is>
          <t>-</t>
        </is>
      </c>
      <c r="U28" s="27" t="inlineStr">
        <is>
          <t>-</t>
        </is>
      </c>
      <c r="V28" s="27" t="inlineStr">
        <is>
          <t>-</t>
        </is>
      </c>
      <c r="W28" s="30" t="inlineStr">
        <is>
          <t>Centre for Medical Technologies (IDRP)</t>
        </is>
      </c>
      <c r="X28" s="30" t="inlineStr">
        <is>
          <t>IIT Jodhpur Permanent Campus, NH 62, Karwar</t>
        </is>
      </c>
      <c r="Y28" s="27" t="inlineStr">
        <is>
          <t>Jodhpur</t>
        </is>
      </c>
      <c r="Z28" s="27" t="inlineStr">
        <is>
          <t>Rajasthan</t>
        </is>
      </c>
      <c r="AA28" s="27" t="inlineStr">
        <is>
          <t>342030</t>
        </is>
      </c>
      <c r="AB28" s="30" t="inlineStr">
        <is>
          <t>Official Cohort Registry (IIT Jodhpur MedTech Portal)</t>
        </is>
      </c>
    </row>
    <row r="29" ht="20" customHeight="1">
      <c r="A29" s="21" t="n">
        <v>25</v>
      </c>
      <c r="B29" s="22" t="inlineStr">
        <is>
          <t>D20ID009</t>
        </is>
      </c>
      <c r="C29" s="23" t="inlineStr">
        <is>
          <t>Yashraj Singh</t>
        </is>
      </c>
      <c r="D29" s="21" t="inlineStr">
        <is>
          <t>Dual Degree</t>
        </is>
      </c>
      <c r="E29" s="24" t="inlineStr">
        <is>
          <t>M.Tech-Ph.D. Dual Degree in Medical Technology</t>
        </is>
      </c>
      <c r="F29" s="21" t="n">
        <v>2020</v>
      </c>
      <c r="G29" s="21" t="n">
        <v>2025</v>
      </c>
      <c r="H29" s="25" t="inlineStr">
        <is>
          <t>Alumni</t>
        </is>
      </c>
      <c r="I29" s="24" t="inlineStr">
        <is>
          <t>Medical Technology</t>
        </is>
      </c>
      <c r="J29" s="24" t="inlineStr">
        <is>
          <t>Faculty Board (IDRP / AIIMS-IIT Joint)</t>
        </is>
      </c>
      <c r="K29" s="24" t="inlineStr">
        <is>
          <t>d20id009@iitj.ac.in</t>
        </is>
      </c>
      <c r="L29" s="21" t="inlineStr">
        <is>
          <t>-</t>
        </is>
      </c>
      <c r="M29" s="21" t="n">
        <v>0</v>
      </c>
      <c r="N29" s="24" t="inlineStr">
        <is>
          <t>-</t>
        </is>
      </c>
      <c r="O29" s="21" t="n">
        <v>0</v>
      </c>
      <c r="P29" s="24" t="inlineStr">
        <is>
          <t>-</t>
        </is>
      </c>
      <c r="Q29" s="21" t="n">
        <v>0</v>
      </c>
      <c r="R29" s="24" t="inlineStr">
        <is>
          <t>-</t>
        </is>
      </c>
      <c r="S29" s="21" t="n">
        <v>0</v>
      </c>
      <c r="T29" s="24" t="inlineStr">
        <is>
          <t>-</t>
        </is>
      </c>
      <c r="U29" s="21" t="inlineStr">
        <is>
          <t>-</t>
        </is>
      </c>
      <c r="V29" s="21" t="inlineStr">
        <is>
          <t>-</t>
        </is>
      </c>
      <c r="W29" s="24" t="inlineStr">
        <is>
          <t>Centre for Medical Technologies (IDRP)</t>
        </is>
      </c>
      <c r="X29" s="24" t="inlineStr">
        <is>
          <t>IIT Jodhpur Permanent Campus, NH 62, Karwar</t>
        </is>
      </c>
      <c r="Y29" s="21" t="inlineStr">
        <is>
          <t>Jodhpur</t>
        </is>
      </c>
      <c r="Z29" s="21" t="inlineStr">
        <is>
          <t>Rajasthan</t>
        </is>
      </c>
      <c r="AA29" s="21" t="inlineStr">
        <is>
          <t>342030</t>
        </is>
      </c>
      <c r="AB29" s="24" t="inlineStr">
        <is>
          <t>Official Cohort Registry (IIT Jodhpur MedTech Portal)</t>
        </is>
      </c>
    </row>
    <row r="30" ht="20" customHeight="1">
      <c r="A30" s="27" t="n">
        <v>26</v>
      </c>
      <c r="B30" s="28" t="inlineStr">
        <is>
          <t>M21ID001</t>
        </is>
      </c>
      <c r="C30" s="29" t="inlineStr">
        <is>
          <t>Ajisha Ck</t>
        </is>
      </c>
      <c r="D30" s="27" t="inlineStr">
        <is>
          <t>Masters</t>
        </is>
      </c>
      <c r="E30" s="30" t="inlineStr">
        <is>
          <t>M.Tech in Medical Technology</t>
        </is>
      </c>
      <c r="F30" s="27" t="n">
        <v>2021</v>
      </c>
      <c r="G30" s="27" t="n">
        <v>2023</v>
      </c>
      <c r="H30" s="25" t="inlineStr">
        <is>
          <t>Alumni</t>
        </is>
      </c>
      <c r="I30" s="30" t="inlineStr">
        <is>
          <t>Medical Technology</t>
        </is>
      </c>
      <c r="J30" s="30" t="inlineStr">
        <is>
          <t>Faculty Board (IDRP / AIIMS-IIT Joint)</t>
        </is>
      </c>
      <c r="K30" s="30" t="inlineStr">
        <is>
          <t>m21id001@iitj.ac.in</t>
        </is>
      </c>
      <c r="L30" s="27" t="inlineStr">
        <is>
          <t>-</t>
        </is>
      </c>
      <c r="M30" s="27" t="n">
        <v>0</v>
      </c>
      <c r="N30" s="30" t="inlineStr">
        <is>
          <t>-</t>
        </is>
      </c>
      <c r="O30" s="27" t="n">
        <v>0</v>
      </c>
      <c r="P30" s="30" t="inlineStr">
        <is>
          <t>-</t>
        </is>
      </c>
      <c r="Q30" s="27" t="n">
        <v>0</v>
      </c>
      <c r="R30" s="30" t="inlineStr">
        <is>
          <t>-</t>
        </is>
      </c>
      <c r="S30" s="27" t="n">
        <v>0</v>
      </c>
      <c r="T30" s="30" t="inlineStr">
        <is>
          <t>-</t>
        </is>
      </c>
      <c r="U30" s="27" t="inlineStr">
        <is>
          <t>-</t>
        </is>
      </c>
      <c r="V30" s="27" t="inlineStr">
        <is>
          <t>-</t>
        </is>
      </c>
      <c r="W30" s="30" t="inlineStr">
        <is>
          <t>Centre for Medical Technologies (IDRP)</t>
        </is>
      </c>
      <c r="X30" s="30" t="inlineStr">
        <is>
          <t>IIT Jodhpur Permanent Campus, NH 62, Karwar</t>
        </is>
      </c>
      <c r="Y30" s="27" t="inlineStr">
        <is>
          <t>Jodhpur</t>
        </is>
      </c>
      <c r="Z30" s="27" t="inlineStr">
        <is>
          <t>Rajasthan</t>
        </is>
      </c>
      <c r="AA30" s="27" t="inlineStr">
        <is>
          <t>342030</t>
        </is>
      </c>
      <c r="AB30" s="30" t="inlineStr">
        <is>
          <t>Official Cohort Registry (IIT Jodhpur MedTech Portal)</t>
        </is>
      </c>
    </row>
    <row r="31" ht="20" customHeight="1">
      <c r="A31" s="21" t="n">
        <v>27</v>
      </c>
      <c r="B31" s="22" t="inlineStr">
        <is>
          <t>M21ID002</t>
        </is>
      </c>
      <c r="C31" s="23" t="inlineStr">
        <is>
          <t>Ajmal Jaleel</t>
        </is>
      </c>
      <c r="D31" s="21" t="inlineStr">
        <is>
          <t>Masters</t>
        </is>
      </c>
      <c r="E31" s="24" t="inlineStr">
        <is>
          <t>M.Tech in Medical Technology</t>
        </is>
      </c>
      <c r="F31" s="21" t="n">
        <v>2021</v>
      </c>
      <c r="G31" s="21" t="n">
        <v>2023</v>
      </c>
      <c r="H31" s="25" t="inlineStr">
        <is>
          <t>Alumni</t>
        </is>
      </c>
      <c r="I31" s="24" t="inlineStr">
        <is>
          <t>Surgical Ergonomics &amp; Mattress Hygiene Management Systems</t>
        </is>
      </c>
      <c r="J31" s="24" t="inlineStr">
        <is>
          <t>Dr. Jayant Kumar Mohanta (IIT Jodhpur)</t>
        </is>
      </c>
      <c r="K31" s="24" t="inlineStr">
        <is>
          <t>m21id002@iitj.ac.in</t>
        </is>
      </c>
      <c r="L31" s="21" t="inlineStr">
        <is>
          <t>-</t>
        </is>
      </c>
      <c r="M31" s="21" t="n">
        <v>0</v>
      </c>
      <c r="N31" s="24" t="inlineStr">
        <is>
          <t>-</t>
        </is>
      </c>
      <c r="O31" s="21" t="n">
        <v>0</v>
      </c>
      <c r="P31" s="24" t="inlineStr">
        <is>
          <t>-</t>
        </is>
      </c>
      <c r="Q31" s="26" t="n">
        <v>1</v>
      </c>
      <c r="R31" s="24" t="inlineStr">
        <is>
          <t>ShilpinMed Technologies Pvt. Ltd. (Founder)</t>
        </is>
      </c>
      <c r="S31" s="21" t="n">
        <v>0</v>
      </c>
      <c r="T31" s="24" t="inlineStr">
        <is>
          <t>-</t>
        </is>
      </c>
      <c r="U31" s="21" t="inlineStr">
        <is>
          <t>-</t>
        </is>
      </c>
      <c r="V31" s="21" t="inlineStr">
        <is>
          <t>-</t>
        </is>
      </c>
      <c r="W31" s="24" t="inlineStr">
        <is>
          <t>Centre for Medical Technologies (IDRP)</t>
        </is>
      </c>
      <c r="X31" s="24" t="inlineStr">
        <is>
          <t>IIT Jodhpur Permanent Campus, NH 62, Karwar</t>
        </is>
      </c>
      <c r="Y31" s="21" t="inlineStr">
        <is>
          <t>Jodhpur</t>
        </is>
      </c>
      <c r="Z31" s="21" t="inlineStr">
        <is>
          <t>Rajasthan</t>
        </is>
      </c>
      <c r="AA31" s="21" t="inlineStr">
        <is>
          <t>342030</t>
        </is>
      </c>
      <c r="AB31" s="24" t="inlineStr">
        <is>
          <t>Official Cohort Registry (IIT Jodhpur MedTech Portal)</t>
        </is>
      </c>
    </row>
    <row r="32" ht="20" customHeight="1">
      <c r="A32" s="27" t="n">
        <v>28</v>
      </c>
      <c r="B32" s="28" t="inlineStr">
        <is>
          <t>M21ID003</t>
        </is>
      </c>
      <c r="C32" s="29" t="inlineStr">
        <is>
          <t>Divesh Kumar Awasthi</t>
        </is>
      </c>
      <c r="D32" s="27" t="inlineStr">
        <is>
          <t>Masters</t>
        </is>
      </c>
      <c r="E32" s="30" t="inlineStr">
        <is>
          <t>M.Tech in Medical Technology</t>
        </is>
      </c>
      <c r="F32" s="27" t="n">
        <v>2021</v>
      </c>
      <c r="G32" s="27" t="n">
        <v>2023</v>
      </c>
      <c r="H32" s="25" t="inlineStr">
        <is>
          <t>Alumni</t>
        </is>
      </c>
      <c r="I32" s="30" t="inlineStr">
        <is>
          <t>Ultrasound-Guided Interventional Syringe Systems</t>
        </is>
      </c>
      <c r="J32" s="30" t="inlineStr">
        <is>
          <t>Dr. Hardik Kothadia (IIT Jodhpur)</t>
        </is>
      </c>
      <c r="K32" s="30" t="inlineStr">
        <is>
          <t>m21id003@iitj.ac.in</t>
        </is>
      </c>
      <c r="L32" s="27" t="inlineStr">
        <is>
          <t>-</t>
        </is>
      </c>
      <c r="M32" s="27" t="n">
        <v>0</v>
      </c>
      <c r="N32" s="30" t="inlineStr">
        <is>
          <t>-</t>
        </is>
      </c>
      <c r="O32" s="27" t="n">
        <v>0</v>
      </c>
      <c r="P32" s="30" t="inlineStr">
        <is>
          <t>-</t>
        </is>
      </c>
      <c r="Q32" s="26" t="n">
        <v>1</v>
      </c>
      <c r="R32" s="30" t="inlineStr">
        <is>
          <t>Healyantra Medical Technologies Pvt. Ltd. (Co-Founder)</t>
        </is>
      </c>
      <c r="S32" s="26" t="n">
        <v>2</v>
      </c>
      <c r="T32" s="30" t="inlineStr">
        <is>
          <t>First patent ; TechEx Technology Transfer Hub funding</t>
        </is>
      </c>
      <c r="U32" s="27" t="inlineStr">
        <is>
          <t>-</t>
        </is>
      </c>
      <c r="V32" s="27" t="inlineStr">
        <is>
          <t>-</t>
        </is>
      </c>
      <c r="W32" s="30" t="inlineStr">
        <is>
          <t>Centre for Medical Technologies (IDRP)</t>
        </is>
      </c>
      <c r="X32" s="30" t="inlineStr">
        <is>
          <t>IIT Jodhpur Permanent Campus, NH 62, Karwar</t>
        </is>
      </c>
      <c r="Y32" s="27" t="inlineStr">
        <is>
          <t>Jodhpur</t>
        </is>
      </c>
      <c r="Z32" s="27" t="inlineStr">
        <is>
          <t>Rajasthan</t>
        </is>
      </c>
      <c r="AA32" s="27" t="inlineStr">
        <is>
          <t>342030</t>
        </is>
      </c>
      <c r="AB32" s="30" t="inlineStr">
        <is>
          <t>Official Cohort Registry (IIT Jodhpur MedTech Portal)</t>
        </is>
      </c>
    </row>
    <row r="33" ht="20" customHeight="1">
      <c r="A33" s="21" t="n">
        <v>29</v>
      </c>
      <c r="B33" s="22" t="inlineStr">
        <is>
          <t>M21ID004</t>
        </is>
      </c>
      <c r="C33" s="23" t="inlineStr">
        <is>
          <t>Gaurav Sawriya</t>
        </is>
      </c>
      <c r="D33" s="21" t="inlineStr">
        <is>
          <t>Masters</t>
        </is>
      </c>
      <c r="E33" s="24" t="inlineStr">
        <is>
          <t>M.Tech in Medical Technology</t>
        </is>
      </c>
      <c r="F33" s="21" t="n">
        <v>2021</v>
      </c>
      <c r="G33" s="21" t="n">
        <v>2023</v>
      </c>
      <c r="H33" s="25" t="inlineStr">
        <is>
          <t>Alumni</t>
        </is>
      </c>
      <c r="I33" s="24" t="inlineStr">
        <is>
          <t>Medical Technology</t>
        </is>
      </c>
      <c r="J33" s="24" t="inlineStr">
        <is>
          <t>Faculty Board (IDRP / AIIMS-IIT Joint)</t>
        </is>
      </c>
      <c r="K33" s="24" t="inlineStr">
        <is>
          <t>m21id004@iitj.ac.in</t>
        </is>
      </c>
      <c r="L33" s="21" t="inlineStr">
        <is>
          <t>-</t>
        </is>
      </c>
      <c r="M33" s="21" t="n">
        <v>0</v>
      </c>
      <c r="N33" s="24" t="inlineStr">
        <is>
          <t>-</t>
        </is>
      </c>
      <c r="O33" s="21" t="n">
        <v>0</v>
      </c>
      <c r="P33" s="24" t="inlineStr">
        <is>
          <t>-</t>
        </is>
      </c>
      <c r="Q33" s="21" t="n">
        <v>0</v>
      </c>
      <c r="R33" s="24" t="inlineStr">
        <is>
          <t>-</t>
        </is>
      </c>
      <c r="S33" s="21" t="n">
        <v>0</v>
      </c>
      <c r="T33" s="24" t="inlineStr">
        <is>
          <t>-</t>
        </is>
      </c>
      <c r="U33" s="21" t="inlineStr">
        <is>
          <t>-</t>
        </is>
      </c>
      <c r="V33" s="21" t="inlineStr">
        <is>
          <t>-</t>
        </is>
      </c>
      <c r="W33" s="24" t="inlineStr">
        <is>
          <t>Centre for Medical Technologies (IDRP)</t>
        </is>
      </c>
      <c r="X33" s="24" t="inlineStr">
        <is>
          <t>IIT Jodhpur Permanent Campus, NH 62, Karwar</t>
        </is>
      </c>
      <c r="Y33" s="21" t="inlineStr">
        <is>
          <t>Jodhpur</t>
        </is>
      </c>
      <c r="Z33" s="21" t="inlineStr">
        <is>
          <t>Rajasthan</t>
        </is>
      </c>
      <c r="AA33" s="21" t="inlineStr">
        <is>
          <t>342030</t>
        </is>
      </c>
      <c r="AB33" s="24" t="inlineStr">
        <is>
          <t>Official Cohort Registry (IIT Jodhpur MedTech Portal)</t>
        </is>
      </c>
    </row>
    <row r="34" ht="20" customHeight="1">
      <c r="A34" s="27" t="n">
        <v>30</v>
      </c>
      <c r="B34" s="28" t="inlineStr">
        <is>
          <t>M21ID005</t>
        </is>
      </c>
      <c r="C34" s="29" t="inlineStr">
        <is>
          <t>Harisharan R</t>
        </is>
      </c>
      <c r="D34" s="27" t="inlineStr">
        <is>
          <t>Masters</t>
        </is>
      </c>
      <c r="E34" s="30" t="inlineStr">
        <is>
          <t>M.Tech in Medical Technology</t>
        </is>
      </c>
      <c r="F34" s="27" t="n">
        <v>2021</v>
      </c>
      <c r="G34" s="27" t="n">
        <v>2023</v>
      </c>
      <c r="H34" s="25" t="inlineStr">
        <is>
          <t>Alumni</t>
        </is>
      </c>
      <c r="I34" s="30" t="inlineStr">
        <is>
          <t>ENT Devices &amp; Cartilage Reshaping Instrumentation</t>
        </is>
      </c>
      <c r="J34" s="30" t="inlineStr">
        <is>
          <t>Prof. Ajay Agarwal (IIT Jodhpur) &amp; Dr. Amit Goyal (AIIMS Jodhpur)</t>
        </is>
      </c>
      <c r="K34" s="30" t="inlineStr">
        <is>
          <t>m21id005@iitj.ac.in</t>
        </is>
      </c>
      <c r="L34" s="27" t="inlineStr">
        <is>
          <t>-</t>
        </is>
      </c>
      <c r="M34" s="27" t="n">
        <v>0</v>
      </c>
      <c r="N34" s="30" t="inlineStr">
        <is>
          <t>-</t>
        </is>
      </c>
      <c r="O34" s="26" t="n">
        <v>1</v>
      </c>
      <c r="P34" s="30" t="inlineStr">
        <is>
          <t>App 202411033887: Device for Reshaping Cartilage</t>
        </is>
      </c>
      <c r="Q34" s="26" t="n">
        <v>1</v>
      </c>
      <c r="R34" s="30" t="inlineStr">
        <is>
          <t>Caldor Health Technologies Pvt. Ltd. (Co-Founder)</t>
        </is>
      </c>
      <c r="S34" s="26" t="n">
        <v>1</v>
      </c>
      <c r="T34" s="30" t="inlineStr">
        <is>
          <t>US$100,000 raised for SWASAM</t>
        </is>
      </c>
      <c r="U34" s="27" t="inlineStr">
        <is>
          <t>-</t>
        </is>
      </c>
      <c r="V34" s="27" t="inlineStr">
        <is>
          <t>-</t>
        </is>
      </c>
      <c r="W34" s="30" t="inlineStr">
        <is>
          <t>Centre for Medical Technologies (IDRP)</t>
        </is>
      </c>
      <c r="X34" s="30" t="inlineStr">
        <is>
          <t>IIT Jodhpur Permanent Campus, NH 62, Karwar</t>
        </is>
      </c>
      <c r="Y34" s="27" t="inlineStr">
        <is>
          <t>Jodhpur</t>
        </is>
      </c>
      <c r="Z34" s="27" t="inlineStr">
        <is>
          <t>Rajasthan</t>
        </is>
      </c>
      <c r="AA34" s="27" t="inlineStr">
        <is>
          <t>342030</t>
        </is>
      </c>
      <c r="AB34" s="30" t="inlineStr">
        <is>
          <t>Official Cohort Registry (IIT Jodhpur MedTech Portal)</t>
        </is>
      </c>
    </row>
    <row r="35" ht="20" customHeight="1">
      <c r="A35" s="21" t="n">
        <v>31</v>
      </c>
      <c r="B35" s="22" t="inlineStr">
        <is>
          <t>M21ID007</t>
        </is>
      </c>
      <c r="C35" s="23" t="inlineStr">
        <is>
          <t>Varun Raman Khandelwal</t>
        </is>
      </c>
      <c r="D35" s="21" t="inlineStr">
        <is>
          <t>Masters</t>
        </is>
      </c>
      <c r="E35" s="24" t="inlineStr">
        <is>
          <t>M.Tech in Medical Technology</t>
        </is>
      </c>
      <c r="F35" s="21" t="n">
        <v>2021</v>
      </c>
      <c r="G35" s="21" t="n">
        <v>2023</v>
      </c>
      <c r="H35" s="25" t="inlineStr">
        <is>
          <t>Alumni</t>
        </is>
      </c>
      <c r="I35" s="24" t="inlineStr">
        <is>
          <t>Ultrasound-Guided Surgical Procedures &amp; Clinical Devices</t>
        </is>
      </c>
      <c r="J35" s="24" t="inlineStr">
        <is>
          <t>Dr. Hardik Kothadia (IIT Jodhpur)</t>
        </is>
      </c>
      <c r="K35" s="24" t="inlineStr">
        <is>
          <t>m21id007@iitj.ac.in</t>
        </is>
      </c>
      <c r="L35" s="21" t="inlineStr">
        <is>
          <t>-</t>
        </is>
      </c>
      <c r="M35" s="21" t="n">
        <v>0</v>
      </c>
      <c r="N35" s="24" t="inlineStr">
        <is>
          <t>-</t>
        </is>
      </c>
      <c r="O35" s="21" t="n">
        <v>0</v>
      </c>
      <c r="P35" s="24" t="inlineStr">
        <is>
          <t>-</t>
        </is>
      </c>
      <c r="Q35" s="26" t="n">
        <v>1</v>
      </c>
      <c r="R35" s="24" t="inlineStr">
        <is>
          <t>Healyantra Medical Technologies Pvt. Ltd. (Director &amp; Co-Founder)</t>
        </is>
      </c>
      <c r="S35" s="26" t="n">
        <v>3</v>
      </c>
      <c r="T35" s="24" t="inlineStr">
        <is>
          <t>First patent ; TechEx Technology Transfer Hub funding ; Winner of MEDHA 2022</t>
        </is>
      </c>
      <c r="U35" s="21" t="inlineStr">
        <is>
          <t>-</t>
        </is>
      </c>
      <c r="V35" s="21" t="inlineStr">
        <is>
          <t>-</t>
        </is>
      </c>
      <c r="W35" s="24" t="inlineStr">
        <is>
          <t>Centre for Medical Technologies (IDRP)</t>
        </is>
      </c>
      <c r="X35" s="24" t="inlineStr">
        <is>
          <t>IIT Jodhpur Permanent Campus, NH 62, Karwar</t>
        </is>
      </c>
      <c r="Y35" s="21" t="inlineStr">
        <is>
          <t>Jodhpur</t>
        </is>
      </c>
      <c r="Z35" s="21" t="inlineStr">
        <is>
          <t>Rajasthan</t>
        </is>
      </c>
      <c r="AA35" s="21" t="inlineStr">
        <is>
          <t>342030</t>
        </is>
      </c>
      <c r="AB35" s="24" t="inlineStr">
        <is>
          <t>Official Cohort Registry (IIT Jodhpur MedTech Portal)</t>
        </is>
      </c>
    </row>
    <row r="36" ht="20" customHeight="1">
      <c r="A36" s="27" t="n">
        <v>32</v>
      </c>
      <c r="B36" s="28" t="inlineStr">
        <is>
          <t>IDRPSHC006</t>
        </is>
      </c>
      <c r="C36" s="29" t="inlineStr">
        <is>
          <t>Ramkamal samat</t>
        </is>
      </c>
      <c r="D36" s="27" t="inlineStr">
        <is>
          <t>PhD</t>
        </is>
      </c>
      <c r="E36" s="30" t="inlineStr">
        <is>
          <t>Ph.D. in Medical Technology</t>
        </is>
      </c>
      <c r="F36" s="27" t="n">
        <v>2021</v>
      </c>
      <c r="G36" s="27" t="n">
        <v>2026</v>
      </c>
      <c r="H36" s="25" t="inlineStr">
        <is>
          <t>Alumni</t>
        </is>
      </c>
      <c r="I36" s="30" t="inlineStr">
        <is>
          <t>Medicinal Chemistry &amp; Infectious Disease Therapeutics</t>
        </is>
      </c>
      <c r="J36" s="30" t="inlineStr">
        <is>
          <t>Faculty Board (IDRP / School of Health)</t>
        </is>
      </c>
      <c r="K36" s="30" t="inlineStr">
        <is>
          <t>samat.1@iitj.ac.in</t>
        </is>
      </c>
      <c r="L36" s="27" t="inlineStr">
        <is>
          <t>-</t>
        </is>
      </c>
      <c r="M36" s="26" t="n">
        <v>4</v>
      </c>
      <c r="N36" s="30" t="inlineStr">
        <is>
          <t>4 Journals, 0 Conferences, 0 Books. Venues: Acs infectious disease, Journal of Medicinal chemistry  (First Author)</t>
        </is>
      </c>
      <c r="O36" s="27" t="n">
        <v>0</v>
      </c>
      <c r="P36" s="30" t="inlineStr">
        <is>
          <t>-</t>
        </is>
      </c>
      <c r="Q36" s="27" t="n">
        <v>0</v>
      </c>
      <c r="R36" s="30" t="inlineStr">
        <is>
          <t>-</t>
        </is>
      </c>
      <c r="S36" s="27" t="n">
        <v>0</v>
      </c>
      <c r="T36" s="30" t="inlineStr">
        <is>
          <t>-</t>
        </is>
      </c>
      <c r="U36" s="27" t="inlineStr">
        <is>
          <t>-</t>
        </is>
      </c>
      <c r="V36" s="27" t="inlineStr">
        <is>
          <t>-</t>
        </is>
      </c>
      <c r="W36" s="30" t="inlineStr">
        <is>
          <t>Centre for Medical Technologies (IDRP / School of Health)</t>
        </is>
      </c>
      <c r="X36" s="30" t="inlineStr">
        <is>
          <t>IIT Jodhpur Permanent Campus, NH 62, Karwar</t>
        </is>
      </c>
      <c r="Y36" s="27" t="inlineStr">
        <is>
          <t>Jodhpur</t>
        </is>
      </c>
      <c r="Z36" s="27" t="inlineStr">
        <is>
          <t>Rajasthan</t>
        </is>
      </c>
      <c r="AA36" s="27" t="inlineStr">
        <is>
          <t>342030</t>
        </is>
      </c>
      <c r="AB36" s="30" t="inlineStr">
        <is>
          <t>Centre Verified Research Publication Submission</t>
        </is>
      </c>
    </row>
    <row r="37" ht="20" customHeight="1">
      <c r="A37" s="21" t="n">
        <v>33</v>
      </c>
      <c r="B37" s="22" t="inlineStr">
        <is>
          <t>P21ID002</t>
        </is>
      </c>
      <c r="C37" s="23" t="inlineStr">
        <is>
          <t>Jayant Singhal</t>
        </is>
      </c>
      <c r="D37" s="21" t="inlineStr">
        <is>
          <t>PhD</t>
        </is>
      </c>
      <c r="E37" s="24" t="inlineStr">
        <is>
          <t>Ph.D. in Medical Technology</t>
        </is>
      </c>
      <c r="F37" s="21" t="n">
        <v>2021</v>
      </c>
      <c r="G37" s="21" t="n">
        <v>2026</v>
      </c>
      <c r="H37" s="31" t="inlineStr">
        <is>
          <t>Active</t>
        </is>
      </c>
      <c r="I37" s="24" t="inlineStr">
        <is>
          <t>Neonatal Bilirubin Diagnostics &amp; AI Health Monitoring</t>
        </is>
      </c>
      <c r="J37" s="24" t="inlineStr">
        <is>
          <t>Prof. Ajay Agarwal (IIT Jodhpur) &amp; Dr. Sushmita Jha (IIT Jodhpur)</t>
        </is>
      </c>
      <c r="K37" s="24" t="inlineStr">
        <is>
          <t>p21id002@iitj.ac.in</t>
        </is>
      </c>
      <c r="L37" s="21" t="inlineStr">
        <is>
          <t>+91 98290 12345</t>
        </is>
      </c>
      <c r="M37" s="21" t="n">
        <v>0</v>
      </c>
      <c r="N37" s="24" t="inlineStr">
        <is>
          <t>-</t>
        </is>
      </c>
      <c r="O37" s="26" t="n">
        <v>1</v>
      </c>
      <c r="P37" s="24" t="inlineStr">
        <is>
          <t>App 202411028352: Monitoring Neonatal Bilirubin Levels</t>
        </is>
      </c>
      <c r="Q37" s="21" t="n">
        <v>0</v>
      </c>
      <c r="R37" s="24" t="inlineStr">
        <is>
          <t>-</t>
        </is>
      </c>
      <c r="S37" s="26" t="n">
        <v>1</v>
      </c>
      <c r="T37" s="24" t="inlineStr">
        <is>
          <t>MSME Idea Hackathon 4.0 grants</t>
        </is>
      </c>
      <c r="U37" s="21" t="inlineStr">
        <is>
          <t>1998-03-22</t>
        </is>
      </c>
      <c r="V37" s="21" t="inlineStr">
        <is>
          <t>Male</t>
        </is>
      </c>
      <c r="W37" s="24" t="inlineStr">
        <is>
          <t>Centre for Medical Technologies (IDRP)</t>
        </is>
      </c>
      <c r="X37" s="24" t="inlineStr">
        <is>
          <t>Ph.D. Scholar Block C, Room 105, IIT Jodhpur Campus</t>
        </is>
      </c>
      <c r="Y37" s="21" t="inlineStr">
        <is>
          <t>Jodhpur</t>
        </is>
      </c>
      <c r="Z37" s="21" t="inlineStr">
        <is>
          <t>Rajasthan</t>
        </is>
      </c>
      <c r="AA37" s="21" t="inlineStr">
        <is>
          <t>342030</t>
        </is>
      </c>
      <c r="AB37" s="24" t="inlineStr">
        <is>
          <t>Official Cohort Registry (IIT Jodhpur MedTech Portal)</t>
        </is>
      </c>
    </row>
    <row r="38" ht="20" customHeight="1">
      <c r="A38" s="27" t="n">
        <v>34</v>
      </c>
      <c r="B38" s="28" t="inlineStr">
        <is>
          <t>P21ID003</t>
        </is>
      </c>
      <c r="C38" s="29" t="inlineStr">
        <is>
          <t>Naveen Kumar</t>
        </is>
      </c>
      <c r="D38" s="27" t="inlineStr">
        <is>
          <t>PhD</t>
        </is>
      </c>
      <c r="E38" s="30" t="inlineStr">
        <is>
          <t>Ph.D. in Medical Technology</t>
        </is>
      </c>
      <c r="F38" s="27" t="n">
        <v>2021</v>
      </c>
      <c r="G38" s="27" t="n">
        <v>2026</v>
      </c>
      <c r="H38" s="25" t="inlineStr">
        <is>
          <t>Alumni</t>
        </is>
      </c>
      <c r="I38" s="30" t="inlineStr">
        <is>
          <t>Medical Technology</t>
        </is>
      </c>
      <c r="J38" s="30" t="inlineStr">
        <is>
          <t>Faculty Board (IDRP / AIIMS-IIT Joint)</t>
        </is>
      </c>
      <c r="K38" s="30" t="inlineStr">
        <is>
          <t>p21id003@iitj.ac.in</t>
        </is>
      </c>
      <c r="L38" s="27" t="inlineStr">
        <is>
          <t>-</t>
        </is>
      </c>
      <c r="M38" s="27" t="n">
        <v>0</v>
      </c>
      <c r="N38" s="30" t="inlineStr">
        <is>
          <t>-</t>
        </is>
      </c>
      <c r="O38" s="27" t="n">
        <v>0</v>
      </c>
      <c r="P38" s="30" t="inlineStr">
        <is>
          <t>-</t>
        </is>
      </c>
      <c r="Q38" s="27" t="n">
        <v>0</v>
      </c>
      <c r="R38" s="30" t="inlineStr">
        <is>
          <t>-</t>
        </is>
      </c>
      <c r="S38" s="27" t="n">
        <v>0</v>
      </c>
      <c r="T38" s="30" t="inlineStr">
        <is>
          <t>-</t>
        </is>
      </c>
      <c r="U38" s="27" t="inlineStr">
        <is>
          <t>-</t>
        </is>
      </c>
      <c r="V38" s="27" t="inlineStr">
        <is>
          <t>-</t>
        </is>
      </c>
      <c r="W38" s="30" t="inlineStr">
        <is>
          <t>Centre for Medical Technologies (IDRP)</t>
        </is>
      </c>
      <c r="X38" s="30" t="inlineStr">
        <is>
          <t>IIT Jodhpur Permanent Campus, NH 62, Karwar</t>
        </is>
      </c>
      <c r="Y38" s="27" t="inlineStr">
        <is>
          <t>Jodhpur</t>
        </is>
      </c>
      <c r="Z38" s="27" t="inlineStr">
        <is>
          <t>Rajasthan</t>
        </is>
      </c>
      <c r="AA38" s="27" t="inlineStr">
        <is>
          <t>342030</t>
        </is>
      </c>
      <c r="AB38" s="30" t="inlineStr">
        <is>
          <t>Official Cohort Registry (IIT Jodhpur MedTech Portal)</t>
        </is>
      </c>
    </row>
    <row r="39" ht="20" customHeight="1">
      <c r="A39" s="21" t="n">
        <v>35</v>
      </c>
      <c r="B39" s="22" t="inlineStr">
        <is>
          <t>P21ID004</t>
        </is>
      </c>
      <c r="C39" s="23" t="inlineStr">
        <is>
          <t>Shailesh Kumar Mousalpuriya</t>
        </is>
      </c>
      <c r="D39" s="21" t="inlineStr">
        <is>
          <t>PhD</t>
        </is>
      </c>
      <c r="E39" s="24" t="inlineStr">
        <is>
          <t>Ph.D. in Medical Technology</t>
        </is>
      </c>
      <c r="F39" s="21" t="n">
        <v>2021</v>
      </c>
      <c r="G39" s="21" t="n">
        <v>2026</v>
      </c>
      <c r="H39" s="25" t="inlineStr">
        <is>
          <t>Alumni</t>
        </is>
      </c>
      <c r="I39" s="24" t="inlineStr">
        <is>
          <t>Medical Technology</t>
        </is>
      </c>
      <c r="J39" s="24" t="inlineStr">
        <is>
          <t>Faculty Board (IDRP / AIIMS-IIT Joint)</t>
        </is>
      </c>
      <c r="K39" s="24" t="inlineStr">
        <is>
          <t>p21id004@iitj.ac.in</t>
        </is>
      </c>
      <c r="L39" s="21" t="inlineStr">
        <is>
          <t>-</t>
        </is>
      </c>
      <c r="M39" s="21" t="n">
        <v>0</v>
      </c>
      <c r="N39" s="24" t="inlineStr">
        <is>
          <t>-</t>
        </is>
      </c>
      <c r="O39" s="21" t="n">
        <v>0</v>
      </c>
      <c r="P39" s="24" t="inlineStr">
        <is>
          <t>-</t>
        </is>
      </c>
      <c r="Q39" s="21" t="n">
        <v>0</v>
      </c>
      <c r="R39" s="24" t="inlineStr">
        <is>
          <t>-</t>
        </is>
      </c>
      <c r="S39" s="21" t="n">
        <v>0</v>
      </c>
      <c r="T39" s="24" t="inlineStr">
        <is>
          <t>-</t>
        </is>
      </c>
      <c r="U39" s="21" t="inlineStr">
        <is>
          <t>-</t>
        </is>
      </c>
      <c r="V39" s="21" t="inlineStr">
        <is>
          <t>-</t>
        </is>
      </c>
      <c r="W39" s="24" t="inlineStr">
        <is>
          <t>Centre for Medical Technologies (IDRP)</t>
        </is>
      </c>
      <c r="X39" s="24" t="inlineStr">
        <is>
          <t>IIT Jodhpur Permanent Campus, NH 62, Karwar</t>
        </is>
      </c>
      <c r="Y39" s="21" t="inlineStr">
        <is>
          <t>Jodhpur</t>
        </is>
      </c>
      <c r="Z39" s="21" t="inlineStr">
        <is>
          <t>Rajasthan</t>
        </is>
      </c>
      <c r="AA39" s="21" t="inlineStr">
        <is>
          <t>342030</t>
        </is>
      </c>
      <c r="AB39" s="24" t="inlineStr">
        <is>
          <t>Official Cohort Registry (IIT Jodhpur MedTech Portal)</t>
        </is>
      </c>
    </row>
    <row r="40" ht="20" customHeight="1">
      <c r="A40" s="27" t="n">
        <v>36</v>
      </c>
      <c r="B40" s="28" t="inlineStr">
        <is>
          <t>P21ID005</t>
        </is>
      </c>
      <c r="C40" s="29" t="inlineStr">
        <is>
          <t>Shivangi Madhavi Harsha</t>
        </is>
      </c>
      <c r="D40" s="27" t="inlineStr">
        <is>
          <t>PhD</t>
        </is>
      </c>
      <c r="E40" s="30" t="inlineStr">
        <is>
          <t>Ph.D. in Medical Technology</t>
        </is>
      </c>
      <c r="F40" s="27" t="n">
        <v>2021</v>
      </c>
      <c r="G40" s="27" t="n">
        <v>2026</v>
      </c>
      <c r="H40" s="25" t="inlineStr">
        <is>
          <t>Alumni</t>
        </is>
      </c>
      <c r="I40" s="30" t="inlineStr">
        <is>
          <t>Smart Wearables &amp; Health Monitoring Textiles</t>
        </is>
      </c>
      <c r="J40" s="30" t="inlineStr">
        <is>
          <t>Prof. Ajay Agarwal (IIT Jodhpur)</t>
        </is>
      </c>
      <c r="K40" s="30" t="inlineStr">
        <is>
          <t>harsha.2@iitj.ac.in</t>
        </is>
      </c>
      <c r="L40" s="27" t="inlineStr">
        <is>
          <t>-</t>
        </is>
      </c>
      <c r="M40" s="26" t="n">
        <v>1</v>
      </c>
      <c r="N40" s="30" t="inlineStr">
        <is>
          <t>0 Journals, 1 Conferences, 0 Books. Venues: Conference - "Fashion-Textiles-Wearables 2026" organized by iLettersiCongress, British Textile Machinery Association and The Textile Institute, Manchester, UK.
Concluded on 15th April 2026, abstract was selected for oral presentation. Papers will be called after this.  (First Author)</t>
        </is>
      </c>
      <c r="O40" s="27" t="n">
        <v>0</v>
      </c>
      <c r="P40" s="30" t="inlineStr">
        <is>
          <t>-</t>
        </is>
      </c>
      <c r="Q40" s="27" t="n">
        <v>0</v>
      </c>
      <c r="R40" s="30" t="inlineStr">
        <is>
          <t>-</t>
        </is>
      </c>
      <c r="S40" s="26" t="n">
        <v>2</v>
      </c>
      <c r="T40" s="30" t="inlineStr">
        <is>
          <t>DAAD Research in Germany — Biotechnology &amp; Biomedical Innovation Research Tour 2026 ; Satyarthi Fellowship 2026</t>
        </is>
      </c>
      <c r="U40" s="27" t="inlineStr">
        <is>
          <t>-</t>
        </is>
      </c>
      <c r="V40" s="27" t="inlineStr">
        <is>
          <t>-</t>
        </is>
      </c>
      <c r="W40" s="30" t="inlineStr">
        <is>
          <t>Centre for Medical Technologies (IDRP)</t>
        </is>
      </c>
      <c r="X40" s="30" t="inlineStr">
        <is>
          <t>IIT Jodhpur Permanent Campus, NH 62, Karwar</t>
        </is>
      </c>
      <c r="Y40" s="27" t="inlineStr">
        <is>
          <t>Jodhpur</t>
        </is>
      </c>
      <c r="Z40" s="27" t="inlineStr">
        <is>
          <t>Rajasthan</t>
        </is>
      </c>
      <c r="AA40" s="27" t="inlineStr">
        <is>
          <t>342030</t>
        </is>
      </c>
      <c r="AB40" s="30" t="inlineStr">
        <is>
          <t>Official Cohort Registry (IIT Jodhpur MedTech Portal)</t>
        </is>
      </c>
    </row>
    <row r="41" ht="20" customHeight="1">
      <c r="A41" s="21" t="n">
        <v>37</v>
      </c>
      <c r="B41" s="22" t="inlineStr">
        <is>
          <t>P21ID006</t>
        </is>
      </c>
      <c r="C41" s="23" t="inlineStr">
        <is>
          <t>Umme Abiha</t>
        </is>
      </c>
      <c r="D41" s="21" t="inlineStr">
        <is>
          <t>PhD</t>
        </is>
      </c>
      <c r="E41" s="24" t="inlineStr">
        <is>
          <t>Ph.D. in Medical Technology</t>
        </is>
      </c>
      <c r="F41" s="21" t="n">
        <v>2021</v>
      </c>
      <c r="G41" s="21" t="n">
        <v>2026</v>
      </c>
      <c r="H41" s="25" t="inlineStr">
        <is>
          <t>Alumni</t>
        </is>
      </c>
      <c r="I41" s="24" t="inlineStr">
        <is>
          <t>Neonatal Bilirubin Screening &amp; Point-of-Care Devices</t>
        </is>
      </c>
      <c r="J41" s="24" t="inlineStr">
        <is>
          <t>Dr. Dip Sankar Banerjee (IIT Jodhpur) &amp; Dr. Saptarshi Mandal (AIIMS Jodhpur)</t>
        </is>
      </c>
      <c r="K41" s="24" t="inlineStr">
        <is>
          <t>abiha.1@iitj.ac.in</t>
        </is>
      </c>
      <c r="L41" s="21" t="inlineStr">
        <is>
          <t>-</t>
        </is>
      </c>
      <c r="M41" s="26" t="n">
        <v>14</v>
      </c>
      <c r="N41" s="24" t="inlineStr">
        <is>
          <t>5 Journals, 0 Conferences, 9 Books. Venues: Journals: Frontiers in Pediatrics,  Medical Engineering &amp; Physics,  Medicina.
Book Chapters: Elsevier., CRC Press,  Springer Nature,  Taylor &amp; Francis, Research Square, Authorea (First Author) | Paper: "Non-Invasive Optical Transcutaneous Bilirubin Estimation in Neonatal Intensive Care"</t>
        </is>
      </c>
      <c r="O41" s="26" t="n">
        <v>1</v>
      </c>
      <c r="P41" s="24" t="inlineStr">
        <is>
          <t>App #202411028352: Monitoring Neonatal Bilirubin Levels (Published) | App 202411028352: Monitoring Neonatal Bilirubin Levels</t>
        </is>
      </c>
      <c r="Q41" s="21" t="n">
        <v>0</v>
      </c>
      <c r="R41" s="24" t="inlineStr">
        <is>
          <t>-</t>
        </is>
      </c>
      <c r="S41" s="26" t="n">
        <v>2</v>
      </c>
      <c r="T41" s="24" t="inlineStr">
        <is>
          <t>Young Researcher Award ; Best Oral Presentation Award, Health Science</t>
        </is>
      </c>
      <c r="U41" s="21" t="inlineStr">
        <is>
          <t>-</t>
        </is>
      </c>
      <c r="V41" s="21" t="inlineStr">
        <is>
          <t>-</t>
        </is>
      </c>
      <c r="W41" s="24" t="inlineStr">
        <is>
          <t>Centre for Medical Technologies (IDRP)</t>
        </is>
      </c>
      <c r="X41" s="24" t="inlineStr">
        <is>
          <t>IIT Jodhpur Permanent Campus, NH 62, Karwar</t>
        </is>
      </c>
      <c r="Y41" s="21" t="inlineStr">
        <is>
          <t>Jodhpur</t>
        </is>
      </c>
      <c r="Z41" s="21" t="inlineStr">
        <is>
          <t>Rajasthan</t>
        </is>
      </c>
      <c r="AA41" s="21" t="inlineStr">
        <is>
          <t>342030</t>
        </is>
      </c>
      <c r="AB41" s="24" t="inlineStr">
        <is>
          <t>Official Cohort Registry (IIT Jodhpur MedTech Portal)</t>
        </is>
      </c>
    </row>
    <row r="42" ht="20" customHeight="1">
      <c r="A42" s="27" t="n">
        <v>38</v>
      </c>
      <c r="B42" s="28" t="inlineStr">
        <is>
          <t>P21SH202</t>
        </is>
      </c>
      <c r="C42" s="29" t="inlineStr">
        <is>
          <t>Midhuna K</t>
        </is>
      </c>
      <c r="D42" s="27" t="inlineStr">
        <is>
          <t>PhD</t>
        </is>
      </c>
      <c r="E42" s="30" t="inlineStr">
        <is>
          <t>Ph.D. in Medical Technology</t>
        </is>
      </c>
      <c r="F42" s="27" t="n">
        <v>2021</v>
      </c>
      <c r="G42" s="27" t="n">
        <v>2026</v>
      </c>
      <c r="H42" s="25" t="inlineStr">
        <is>
          <t>Alumni</t>
        </is>
      </c>
      <c r="I42" s="30" t="inlineStr">
        <is>
          <t>Biophysical Chemistry &amp; Translational Diagnostics</t>
        </is>
      </c>
      <c r="J42" s="30" t="inlineStr">
        <is>
          <t>Faculty Board (IDRP / School of Health)</t>
        </is>
      </c>
      <c r="K42" s="30" t="inlineStr">
        <is>
          <t>midhuna.1@iitj.ac.in</t>
        </is>
      </c>
      <c r="L42" s="27" t="inlineStr">
        <is>
          <t>-</t>
        </is>
      </c>
      <c r="M42" s="27" t="n">
        <v>0</v>
      </c>
      <c r="N42" s="30" t="inlineStr">
        <is>
          <t>0 Journals, 0 Conferences, 0 Books. Venues: Manuscript under preparation Biophysical chemistry  (First Author)</t>
        </is>
      </c>
      <c r="O42" s="27" t="n">
        <v>0</v>
      </c>
      <c r="P42" s="30" t="inlineStr">
        <is>
          <t>-</t>
        </is>
      </c>
      <c r="Q42" s="27" t="n">
        <v>0</v>
      </c>
      <c r="R42" s="30" t="inlineStr">
        <is>
          <t>-</t>
        </is>
      </c>
      <c r="S42" s="27" t="n">
        <v>0</v>
      </c>
      <c r="T42" s="30" t="inlineStr">
        <is>
          <t>-</t>
        </is>
      </c>
      <c r="U42" s="27" t="inlineStr">
        <is>
          <t>-</t>
        </is>
      </c>
      <c r="V42" s="27" t="inlineStr">
        <is>
          <t>-</t>
        </is>
      </c>
      <c r="W42" s="30" t="inlineStr">
        <is>
          <t>Centre for Medical Technologies (IDRP / School of Health)</t>
        </is>
      </c>
      <c r="X42" s="30" t="inlineStr">
        <is>
          <t>IIT Jodhpur Permanent Campus, NH 62, Karwar</t>
        </is>
      </c>
      <c r="Y42" s="27" t="inlineStr">
        <is>
          <t>Jodhpur</t>
        </is>
      </c>
      <c r="Z42" s="27" t="inlineStr">
        <is>
          <t>Rajasthan</t>
        </is>
      </c>
      <c r="AA42" s="27" t="inlineStr">
        <is>
          <t>342030</t>
        </is>
      </c>
      <c r="AB42" s="30" t="inlineStr">
        <is>
          <t>Centre Verified Research Publication Submission</t>
        </is>
      </c>
    </row>
    <row r="43" ht="20" customHeight="1">
      <c r="A43" s="21" t="n">
        <v>39</v>
      </c>
      <c r="B43" s="22" t="inlineStr">
        <is>
          <t>D21ID003</t>
        </is>
      </c>
      <c r="C43" s="23" t="inlineStr">
        <is>
          <t>Manik Sejwal</t>
        </is>
      </c>
      <c r="D43" s="21" t="inlineStr">
        <is>
          <t>Dual Degree</t>
        </is>
      </c>
      <c r="E43" s="24" t="inlineStr">
        <is>
          <t>M.Tech-Ph.D. Dual Degree in Medical Technology</t>
        </is>
      </c>
      <c r="F43" s="21" t="n">
        <v>2021</v>
      </c>
      <c r="G43" s="21" t="n">
        <v>2026</v>
      </c>
      <c r="H43" s="25" t="inlineStr">
        <is>
          <t>Alumni</t>
        </is>
      </c>
      <c r="I43" s="24" t="inlineStr">
        <is>
          <t>Medical Technology</t>
        </is>
      </c>
      <c r="J43" s="24" t="inlineStr">
        <is>
          <t>Faculty Board (IDRP / AIIMS-IIT Joint)</t>
        </is>
      </c>
      <c r="K43" s="24" t="inlineStr">
        <is>
          <t>d21id003@iitj.ac.in</t>
        </is>
      </c>
      <c r="L43" s="21" t="inlineStr">
        <is>
          <t>-</t>
        </is>
      </c>
      <c r="M43" s="21" t="n">
        <v>0</v>
      </c>
      <c r="N43" s="24" t="inlineStr">
        <is>
          <t>-</t>
        </is>
      </c>
      <c r="O43" s="21" t="n">
        <v>0</v>
      </c>
      <c r="P43" s="24" t="inlineStr">
        <is>
          <t>-</t>
        </is>
      </c>
      <c r="Q43" s="21" t="n">
        <v>0</v>
      </c>
      <c r="R43" s="24" t="inlineStr">
        <is>
          <t>-</t>
        </is>
      </c>
      <c r="S43" s="21" t="n">
        <v>0</v>
      </c>
      <c r="T43" s="24" t="inlineStr">
        <is>
          <t>-</t>
        </is>
      </c>
      <c r="U43" s="21" t="inlineStr">
        <is>
          <t>-</t>
        </is>
      </c>
      <c r="V43" s="21" t="inlineStr">
        <is>
          <t>-</t>
        </is>
      </c>
      <c r="W43" s="24" t="inlineStr">
        <is>
          <t>Centre for Medical Technologies (IDRP)</t>
        </is>
      </c>
      <c r="X43" s="24" t="inlineStr">
        <is>
          <t>IIT Jodhpur Permanent Campus, NH 62, Karwar</t>
        </is>
      </c>
      <c r="Y43" s="21" t="inlineStr">
        <is>
          <t>Jodhpur</t>
        </is>
      </c>
      <c r="Z43" s="21" t="inlineStr">
        <is>
          <t>Rajasthan</t>
        </is>
      </c>
      <c r="AA43" s="21" t="inlineStr">
        <is>
          <t>342030</t>
        </is>
      </c>
      <c r="AB43" s="24" t="inlineStr">
        <is>
          <t>Official Cohort Registry (IIT Jodhpur MedTech Portal)</t>
        </is>
      </c>
    </row>
    <row r="44" ht="20" customHeight="1">
      <c r="A44" s="27" t="n">
        <v>40</v>
      </c>
      <c r="B44" s="28" t="inlineStr">
        <is>
          <t>D21ID004</t>
        </is>
      </c>
      <c r="C44" s="29" t="inlineStr">
        <is>
          <t>Ravi Singhal</t>
        </is>
      </c>
      <c r="D44" s="27" t="inlineStr">
        <is>
          <t>Dual Degree</t>
        </is>
      </c>
      <c r="E44" s="30" t="inlineStr">
        <is>
          <t>M.Tech-Ph.D. Dual Degree in Medical Technology</t>
        </is>
      </c>
      <c r="F44" s="27" t="n">
        <v>2021</v>
      </c>
      <c r="G44" s="27" t="n">
        <v>2026</v>
      </c>
      <c r="H44" s="25" t="inlineStr">
        <is>
          <t>Alumni</t>
        </is>
      </c>
      <c r="I44" s="30" t="inlineStr">
        <is>
          <t>Medical Technology</t>
        </is>
      </c>
      <c r="J44" s="30" t="inlineStr">
        <is>
          <t>Faculty Board (IDRP / AIIMS-IIT Joint)</t>
        </is>
      </c>
      <c r="K44" s="30" t="inlineStr">
        <is>
          <t>d21id004@iitj.ac.in</t>
        </is>
      </c>
      <c r="L44" s="27" t="inlineStr">
        <is>
          <t>-</t>
        </is>
      </c>
      <c r="M44" s="27" t="n">
        <v>0</v>
      </c>
      <c r="N44" s="30" t="inlineStr">
        <is>
          <t>-</t>
        </is>
      </c>
      <c r="O44" s="27" t="n">
        <v>0</v>
      </c>
      <c r="P44" s="30" t="inlineStr">
        <is>
          <t>-</t>
        </is>
      </c>
      <c r="Q44" s="27" t="n">
        <v>0</v>
      </c>
      <c r="R44" s="30" t="inlineStr">
        <is>
          <t>-</t>
        </is>
      </c>
      <c r="S44" s="27" t="n">
        <v>0</v>
      </c>
      <c r="T44" s="30" t="inlineStr">
        <is>
          <t>-</t>
        </is>
      </c>
      <c r="U44" s="27" t="inlineStr">
        <is>
          <t>-</t>
        </is>
      </c>
      <c r="V44" s="27" t="inlineStr">
        <is>
          <t>-</t>
        </is>
      </c>
      <c r="W44" s="30" t="inlineStr">
        <is>
          <t>Centre for Medical Technologies (IDRP)</t>
        </is>
      </c>
      <c r="X44" s="30" t="inlineStr">
        <is>
          <t>IIT Jodhpur Permanent Campus, NH 62, Karwar</t>
        </is>
      </c>
      <c r="Y44" s="27" t="inlineStr">
        <is>
          <t>Jodhpur</t>
        </is>
      </c>
      <c r="Z44" s="27" t="inlineStr">
        <is>
          <t>Rajasthan</t>
        </is>
      </c>
      <c r="AA44" s="27" t="inlineStr">
        <is>
          <t>342030</t>
        </is>
      </c>
      <c r="AB44" s="30" t="inlineStr">
        <is>
          <t>Official Cohort Registry (IIT Jodhpur MedTech Portal)</t>
        </is>
      </c>
    </row>
    <row r="45" ht="20" customHeight="1">
      <c r="A45" s="21" t="n">
        <v>41</v>
      </c>
      <c r="B45" s="22" t="inlineStr">
        <is>
          <t>D21ID005</t>
        </is>
      </c>
      <c r="C45" s="23" t="inlineStr">
        <is>
          <t>Sayak Sarkar</t>
        </is>
      </c>
      <c r="D45" s="21" t="inlineStr">
        <is>
          <t>Dual Degree</t>
        </is>
      </c>
      <c r="E45" s="24" t="inlineStr">
        <is>
          <t>M.Tech-Ph.D. Dual Degree in Medical Technology</t>
        </is>
      </c>
      <c r="F45" s="21" t="n">
        <v>2021</v>
      </c>
      <c r="G45" s="21" t="n">
        <v>2026</v>
      </c>
      <c r="H45" s="25" t="inlineStr">
        <is>
          <t>Alumni</t>
        </is>
      </c>
      <c r="I45" s="24" t="inlineStr">
        <is>
          <t>Medical Technology</t>
        </is>
      </c>
      <c r="J45" s="24" t="inlineStr">
        <is>
          <t>Faculty Board (IDRP / AIIMS-IIT Joint)</t>
        </is>
      </c>
      <c r="K45" s="24" t="inlineStr">
        <is>
          <t>d21id005@iitj.ac.in</t>
        </is>
      </c>
      <c r="L45" s="21" t="inlineStr">
        <is>
          <t>-</t>
        </is>
      </c>
      <c r="M45" s="21" t="n">
        <v>0</v>
      </c>
      <c r="N45" s="24" t="inlineStr">
        <is>
          <t>-</t>
        </is>
      </c>
      <c r="O45" s="21" t="n">
        <v>0</v>
      </c>
      <c r="P45" s="24" t="inlineStr">
        <is>
          <t>-</t>
        </is>
      </c>
      <c r="Q45" s="21" t="n">
        <v>0</v>
      </c>
      <c r="R45" s="24" t="inlineStr">
        <is>
          <t>-</t>
        </is>
      </c>
      <c r="S45" s="26" t="n">
        <v>2</v>
      </c>
      <c r="T45" s="24" t="inlineStr">
        <is>
          <t>First patent ; TechEx Technology Transfer Hub funding</t>
        </is>
      </c>
      <c r="U45" s="21" t="inlineStr">
        <is>
          <t>-</t>
        </is>
      </c>
      <c r="V45" s="21" t="inlineStr">
        <is>
          <t>-</t>
        </is>
      </c>
      <c r="W45" s="24" t="inlineStr">
        <is>
          <t>Centre for Medical Technologies (IDRP)</t>
        </is>
      </c>
      <c r="X45" s="24" t="inlineStr">
        <is>
          <t>IIT Jodhpur Permanent Campus, NH 62, Karwar</t>
        </is>
      </c>
      <c r="Y45" s="21" t="inlineStr">
        <is>
          <t>Jodhpur</t>
        </is>
      </c>
      <c r="Z45" s="21" t="inlineStr">
        <is>
          <t>Rajasthan</t>
        </is>
      </c>
      <c r="AA45" s="21" t="inlineStr">
        <is>
          <t>342030</t>
        </is>
      </c>
      <c r="AB45" s="24" t="inlineStr">
        <is>
          <t>Official Cohort Registry (IIT Jodhpur MedTech Portal)</t>
        </is>
      </c>
    </row>
    <row r="46" ht="20" customHeight="1">
      <c r="A46" s="27" t="n">
        <v>42</v>
      </c>
      <c r="B46" s="28" t="inlineStr">
        <is>
          <t>D21ID006</t>
        </is>
      </c>
      <c r="C46" s="29" t="inlineStr">
        <is>
          <t>Katyayanee Sharma</t>
        </is>
      </c>
      <c r="D46" s="27" t="inlineStr">
        <is>
          <t>Dual Degree</t>
        </is>
      </c>
      <c r="E46" s="30" t="inlineStr">
        <is>
          <t>M.Tech-Ph.D. Dual Degree in Medical Technology</t>
        </is>
      </c>
      <c r="F46" s="27" t="n">
        <v>2021</v>
      </c>
      <c r="G46" s="27" t="n">
        <v>2026</v>
      </c>
      <c r="H46" s="31" t="inlineStr">
        <is>
          <t>Active</t>
        </is>
      </c>
      <c r="I46" s="30" t="inlineStr">
        <is>
          <t>Nano-Electronic Sensors &amp; Surgical Reshaping Devices</t>
        </is>
      </c>
      <c r="J46" s="30" t="inlineStr">
        <is>
          <t>Prof. Ajay Agarwal (IIT Jodhpur)</t>
        </is>
      </c>
      <c r="K46" s="30" t="inlineStr">
        <is>
          <t>sharma.108@iitj.ac.in</t>
        </is>
      </c>
      <c r="L46" s="27" t="inlineStr">
        <is>
          <t>+91 94140 11223</t>
        </is>
      </c>
      <c r="M46" s="26" t="n">
        <v>3</v>
      </c>
      <c r="N46" s="30" t="inlineStr">
        <is>
          <t>1 Journals, 1 Conferences, 1 Books. Venues: 1. Conference- MNDCS 2024 2. Chapter- Lecture Notes in Electrical Engineering, vol 1382. Springer  3. Chapter- IEEE Biosensors (under review) (First Author) | Paper: "Ultra-Low Power CMOS Transceiver for Implantable Bio-Telemetry Sensors"</t>
        </is>
      </c>
      <c r="O46" s="26" t="n">
        <v>1</v>
      </c>
      <c r="P46" s="30" t="inlineStr">
        <is>
          <t>App 202411033887: Device for Reshaping Cartilage</t>
        </is>
      </c>
      <c r="Q46" s="27" t="n">
        <v>0</v>
      </c>
      <c r="R46" s="30" t="inlineStr">
        <is>
          <t>-</t>
        </is>
      </c>
      <c r="S46" s="26" t="n">
        <v>1</v>
      </c>
      <c r="T46" s="30" t="inlineStr">
        <is>
          <t>MSME Idea Hackathon 4.0 grants</t>
        </is>
      </c>
      <c r="U46" s="27" t="inlineStr">
        <is>
          <t>1997-09-30</t>
        </is>
      </c>
      <c r="V46" s="27" t="inlineStr">
        <is>
          <t>Female</t>
        </is>
      </c>
      <c r="W46" s="30" t="inlineStr">
        <is>
          <t>Centre for Medical Technologies (IDRP)</t>
        </is>
      </c>
      <c r="X46" s="30" t="inlineStr">
        <is>
          <t>Ph.D. Scholar Block C, Room 218, IIT Jodhpur</t>
        </is>
      </c>
      <c r="Y46" s="27" t="inlineStr">
        <is>
          <t>Jodhpur</t>
        </is>
      </c>
      <c r="Z46" s="27" t="inlineStr">
        <is>
          <t>Rajasthan</t>
        </is>
      </c>
      <c r="AA46" s="27" t="inlineStr">
        <is>
          <t>342030</t>
        </is>
      </c>
      <c r="AB46" s="30" t="inlineStr">
        <is>
          <t>Official Cohort Registry (IIT Jodhpur MedTech Portal)</t>
        </is>
      </c>
    </row>
    <row r="47" ht="20" customHeight="1">
      <c r="A47" s="21" t="n">
        <v>43</v>
      </c>
      <c r="B47" s="22" t="inlineStr">
        <is>
          <t>M22ID001</t>
        </is>
      </c>
      <c r="C47" s="23" t="inlineStr">
        <is>
          <t>Aakshi Sharma</t>
        </is>
      </c>
      <c r="D47" s="21" t="inlineStr">
        <is>
          <t>Masters</t>
        </is>
      </c>
      <c r="E47" s="24" t="inlineStr">
        <is>
          <t>M.Tech in Medical Technology</t>
        </is>
      </c>
      <c r="F47" s="21" t="n">
        <v>2022</v>
      </c>
      <c r="G47" s="21" t="n">
        <v>2024</v>
      </c>
      <c r="H47" s="25" t="inlineStr">
        <is>
          <t>Alumni</t>
        </is>
      </c>
      <c r="I47" s="24" t="inlineStr">
        <is>
          <t>Medical Technology</t>
        </is>
      </c>
      <c r="J47" s="24" t="inlineStr">
        <is>
          <t>Faculty Board (IDRP / AIIMS-IIT Joint)</t>
        </is>
      </c>
      <c r="K47" s="24" t="inlineStr">
        <is>
          <t>m22id001@iitj.ac.in</t>
        </is>
      </c>
      <c r="L47" s="21" t="inlineStr">
        <is>
          <t>-</t>
        </is>
      </c>
      <c r="M47" s="21" t="n">
        <v>0</v>
      </c>
      <c r="N47" s="24" t="inlineStr">
        <is>
          <t>-</t>
        </is>
      </c>
      <c r="O47" s="21" t="n">
        <v>0</v>
      </c>
      <c r="P47" s="24" t="inlineStr">
        <is>
          <t>-</t>
        </is>
      </c>
      <c r="Q47" s="21" t="n">
        <v>0</v>
      </c>
      <c r="R47" s="24" t="inlineStr">
        <is>
          <t>-</t>
        </is>
      </c>
      <c r="S47" s="21" t="n">
        <v>0</v>
      </c>
      <c r="T47" s="24" t="inlineStr">
        <is>
          <t>-</t>
        </is>
      </c>
      <c r="U47" s="21" t="inlineStr">
        <is>
          <t>-</t>
        </is>
      </c>
      <c r="V47" s="21" t="inlineStr">
        <is>
          <t>-</t>
        </is>
      </c>
      <c r="W47" s="24" t="inlineStr">
        <is>
          <t>Centre for Medical Technologies (IDRP)</t>
        </is>
      </c>
      <c r="X47" s="24" t="inlineStr">
        <is>
          <t>IIT Jodhpur Permanent Campus, NH 62, Karwar</t>
        </is>
      </c>
      <c r="Y47" s="21" t="inlineStr">
        <is>
          <t>Jodhpur</t>
        </is>
      </c>
      <c r="Z47" s="21" t="inlineStr">
        <is>
          <t>Rajasthan</t>
        </is>
      </c>
      <c r="AA47" s="21" t="inlineStr">
        <is>
          <t>342030</t>
        </is>
      </c>
      <c r="AB47" s="24" t="inlineStr">
        <is>
          <t>Official Cohort Registry (IIT Jodhpur MedTech Portal)</t>
        </is>
      </c>
    </row>
    <row r="48" ht="20" customHeight="1">
      <c r="A48" s="27" t="n">
        <v>44</v>
      </c>
      <c r="B48" s="28" t="inlineStr">
        <is>
          <t>M22ID002</t>
        </is>
      </c>
      <c r="C48" s="29" t="inlineStr">
        <is>
          <t>Anjali Rajeev</t>
        </is>
      </c>
      <c r="D48" s="27" t="inlineStr">
        <is>
          <t>Masters</t>
        </is>
      </c>
      <c r="E48" s="30" t="inlineStr">
        <is>
          <t>M.Tech in Medical Technology</t>
        </is>
      </c>
      <c r="F48" s="27" t="n">
        <v>2022</v>
      </c>
      <c r="G48" s="27" t="n">
        <v>2024</v>
      </c>
      <c r="H48" s="25" t="inlineStr">
        <is>
          <t>Alumni</t>
        </is>
      </c>
      <c r="I48" s="30" t="inlineStr">
        <is>
          <t>Medical Technology</t>
        </is>
      </c>
      <c r="J48" s="30" t="inlineStr">
        <is>
          <t>Faculty Board (IDRP / AIIMS-IIT Joint)</t>
        </is>
      </c>
      <c r="K48" s="30" t="inlineStr">
        <is>
          <t>m22id002@iitj.ac.in</t>
        </is>
      </c>
      <c r="L48" s="27" t="inlineStr">
        <is>
          <t>-</t>
        </is>
      </c>
      <c r="M48" s="27" t="n">
        <v>0</v>
      </c>
      <c r="N48" s="30" t="inlineStr">
        <is>
          <t>-</t>
        </is>
      </c>
      <c r="O48" s="27" t="n">
        <v>0</v>
      </c>
      <c r="P48" s="30" t="inlineStr">
        <is>
          <t>-</t>
        </is>
      </c>
      <c r="Q48" s="27" t="n">
        <v>0</v>
      </c>
      <c r="R48" s="30" t="inlineStr">
        <is>
          <t>-</t>
        </is>
      </c>
      <c r="S48" s="27" t="n">
        <v>0</v>
      </c>
      <c r="T48" s="30" t="inlineStr">
        <is>
          <t>-</t>
        </is>
      </c>
      <c r="U48" s="27" t="inlineStr">
        <is>
          <t>-</t>
        </is>
      </c>
      <c r="V48" s="27" t="inlineStr">
        <is>
          <t>-</t>
        </is>
      </c>
      <c r="W48" s="30" t="inlineStr">
        <is>
          <t>Centre for Medical Technologies (IDRP)</t>
        </is>
      </c>
      <c r="X48" s="30" t="inlineStr">
        <is>
          <t>IIT Jodhpur Permanent Campus, NH 62, Karwar</t>
        </is>
      </c>
      <c r="Y48" s="27" t="inlineStr">
        <is>
          <t>Jodhpur</t>
        </is>
      </c>
      <c r="Z48" s="27" t="inlineStr">
        <is>
          <t>Rajasthan</t>
        </is>
      </c>
      <c r="AA48" s="27" t="inlineStr">
        <is>
          <t>342030</t>
        </is>
      </c>
      <c r="AB48" s="30" t="inlineStr">
        <is>
          <t>Official Cohort Registry (IIT Jodhpur MedTech Portal)</t>
        </is>
      </c>
    </row>
    <row r="49" ht="20" customHeight="1">
      <c r="A49" s="21" t="n">
        <v>45</v>
      </c>
      <c r="B49" s="22" t="inlineStr">
        <is>
          <t>M22ID003</t>
        </is>
      </c>
      <c r="C49" s="23" t="inlineStr">
        <is>
          <t>Debasish Panda</t>
        </is>
      </c>
      <c r="D49" s="21" t="inlineStr">
        <is>
          <t>Masters</t>
        </is>
      </c>
      <c r="E49" s="24" t="inlineStr">
        <is>
          <t>M.Tech in Medical Technology</t>
        </is>
      </c>
      <c r="F49" s="21" t="n">
        <v>2022</v>
      </c>
      <c r="G49" s="21" t="n">
        <v>2024</v>
      </c>
      <c r="H49" s="25" t="inlineStr">
        <is>
          <t>Alumni</t>
        </is>
      </c>
      <c r="I49" s="24" t="inlineStr">
        <is>
          <t>Medical Technology</t>
        </is>
      </c>
      <c r="J49" s="24" t="inlineStr">
        <is>
          <t>Faculty Board (IDRP / AIIMS-IIT Joint)</t>
        </is>
      </c>
      <c r="K49" s="24" t="inlineStr">
        <is>
          <t>m22id003@iitj.ac.in</t>
        </is>
      </c>
      <c r="L49" s="21" t="inlineStr">
        <is>
          <t>-</t>
        </is>
      </c>
      <c r="M49" s="21" t="n">
        <v>0</v>
      </c>
      <c r="N49" s="24" t="inlineStr">
        <is>
          <t>-</t>
        </is>
      </c>
      <c r="O49" s="21" t="n">
        <v>0</v>
      </c>
      <c r="P49" s="24" t="inlineStr">
        <is>
          <t>-</t>
        </is>
      </c>
      <c r="Q49" s="21" t="n">
        <v>0</v>
      </c>
      <c r="R49" s="24" t="inlineStr">
        <is>
          <t>-</t>
        </is>
      </c>
      <c r="S49" s="26" t="n">
        <v>2</v>
      </c>
      <c r="T49" s="24" t="inlineStr">
        <is>
          <t>Silver Medal ; Indian patent: non-invasive glucometer</t>
        </is>
      </c>
      <c r="U49" s="21" t="inlineStr">
        <is>
          <t>-</t>
        </is>
      </c>
      <c r="V49" s="21" t="inlineStr">
        <is>
          <t>-</t>
        </is>
      </c>
      <c r="W49" s="24" t="inlineStr">
        <is>
          <t>Centre for Medical Technologies (IDRP)</t>
        </is>
      </c>
      <c r="X49" s="24" t="inlineStr">
        <is>
          <t>IIT Jodhpur Permanent Campus, NH 62, Karwar</t>
        </is>
      </c>
      <c r="Y49" s="21" t="inlineStr">
        <is>
          <t>Jodhpur</t>
        </is>
      </c>
      <c r="Z49" s="21" t="inlineStr">
        <is>
          <t>Rajasthan</t>
        </is>
      </c>
      <c r="AA49" s="21" t="inlineStr">
        <is>
          <t>342030</t>
        </is>
      </c>
      <c r="AB49" s="24" t="inlineStr">
        <is>
          <t>Official Cohort Registry (IIT Jodhpur MedTech Portal)</t>
        </is>
      </c>
    </row>
    <row r="50" ht="20" customHeight="1">
      <c r="A50" s="27" t="n">
        <v>46</v>
      </c>
      <c r="B50" s="28" t="inlineStr">
        <is>
          <t>M22ID004</t>
        </is>
      </c>
      <c r="C50" s="29" t="inlineStr">
        <is>
          <t>Tanvi Chawla</t>
        </is>
      </c>
      <c r="D50" s="27" t="inlineStr">
        <is>
          <t>Masters</t>
        </is>
      </c>
      <c r="E50" s="30" t="inlineStr">
        <is>
          <t>M.Tech in Medical Technology</t>
        </is>
      </c>
      <c r="F50" s="27" t="n">
        <v>2022</v>
      </c>
      <c r="G50" s="27" t="n">
        <v>2024</v>
      </c>
      <c r="H50" s="25" t="inlineStr">
        <is>
          <t>Alumni</t>
        </is>
      </c>
      <c r="I50" s="30" t="inlineStr">
        <is>
          <t>Medical Technology</t>
        </is>
      </c>
      <c r="J50" s="30" t="inlineStr">
        <is>
          <t>Faculty Board (IDRP / AIIMS-IIT Joint)</t>
        </is>
      </c>
      <c r="K50" s="30" t="inlineStr">
        <is>
          <t>m22id004@iitj.ac.in</t>
        </is>
      </c>
      <c r="L50" s="27" t="inlineStr">
        <is>
          <t>-</t>
        </is>
      </c>
      <c r="M50" s="27" t="n">
        <v>0</v>
      </c>
      <c r="N50" s="30" t="inlineStr">
        <is>
          <t>-</t>
        </is>
      </c>
      <c r="O50" s="27" t="n">
        <v>0</v>
      </c>
      <c r="P50" s="30" t="inlineStr">
        <is>
          <t>-</t>
        </is>
      </c>
      <c r="Q50" s="27" t="n">
        <v>0</v>
      </c>
      <c r="R50" s="30" t="inlineStr">
        <is>
          <t>-</t>
        </is>
      </c>
      <c r="S50" s="26" t="n">
        <v>1</v>
      </c>
      <c r="T50" s="30" t="inlineStr">
        <is>
          <t>Most Promising Doctor in Dental Award</t>
        </is>
      </c>
      <c r="U50" s="27" t="inlineStr">
        <is>
          <t>-</t>
        </is>
      </c>
      <c r="V50" s="27" t="inlineStr">
        <is>
          <t>-</t>
        </is>
      </c>
      <c r="W50" s="30" t="inlineStr">
        <is>
          <t>Centre for Medical Technologies (IDRP)</t>
        </is>
      </c>
      <c r="X50" s="30" t="inlineStr">
        <is>
          <t>IIT Jodhpur Permanent Campus, NH 62, Karwar</t>
        </is>
      </c>
      <c r="Y50" s="27" t="inlineStr">
        <is>
          <t>Jodhpur</t>
        </is>
      </c>
      <c r="Z50" s="27" t="inlineStr">
        <is>
          <t>Rajasthan</t>
        </is>
      </c>
      <c r="AA50" s="27" t="inlineStr">
        <is>
          <t>342030</t>
        </is>
      </c>
      <c r="AB50" s="30" t="inlineStr">
        <is>
          <t>Official Cohort Registry (IIT Jodhpur MedTech Portal)</t>
        </is>
      </c>
    </row>
    <row r="51" ht="20" customHeight="1">
      <c r="A51" s="21" t="n">
        <v>47</v>
      </c>
      <c r="B51" s="22" t="inlineStr">
        <is>
          <t>M22ID005</t>
        </is>
      </c>
      <c r="C51" s="23" t="inlineStr">
        <is>
          <t>Yuvraj Ishwar Telrandhe</t>
        </is>
      </c>
      <c r="D51" s="21" t="inlineStr">
        <is>
          <t>Masters</t>
        </is>
      </c>
      <c r="E51" s="24" t="inlineStr">
        <is>
          <t>M.Tech in Medical Technology</t>
        </is>
      </c>
      <c r="F51" s="21" t="n">
        <v>2022</v>
      </c>
      <c r="G51" s="21" t="n">
        <v>2024</v>
      </c>
      <c r="H51" s="25" t="inlineStr">
        <is>
          <t>Alumni</t>
        </is>
      </c>
      <c r="I51" s="24" t="inlineStr">
        <is>
          <t>Medical Technology</t>
        </is>
      </c>
      <c r="J51" s="24" t="inlineStr">
        <is>
          <t>Faculty Board (IDRP / AIIMS-IIT Joint)</t>
        </is>
      </c>
      <c r="K51" s="24" t="inlineStr">
        <is>
          <t>m22id005@iitj.ac.in</t>
        </is>
      </c>
      <c r="L51" s="21" t="inlineStr">
        <is>
          <t>-</t>
        </is>
      </c>
      <c r="M51" s="21" t="n">
        <v>0</v>
      </c>
      <c r="N51" s="24" t="inlineStr">
        <is>
          <t>-</t>
        </is>
      </c>
      <c r="O51" s="21" t="n">
        <v>0</v>
      </c>
      <c r="P51" s="24" t="inlineStr">
        <is>
          <t>-</t>
        </is>
      </c>
      <c r="Q51" s="21" t="n">
        <v>0</v>
      </c>
      <c r="R51" s="24" t="inlineStr">
        <is>
          <t>-</t>
        </is>
      </c>
      <c r="S51" s="21" t="n">
        <v>0</v>
      </c>
      <c r="T51" s="24" t="inlineStr">
        <is>
          <t>-</t>
        </is>
      </c>
      <c r="U51" s="21" t="inlineStr">
        <is>
          <t>-</t>
        </is>
      </c>
      <c r="V51" s="21" t="inlineStr">
        <is>
          <t>-</t>
        </is>
      </c>
      <c r="W51" s="24" t="inlineStr">
        <is>
          <t>Centre for Medical Technologies (IDRP)</t>
        </is>
      </c>
      <c r="X51" s="24" t="inlineStr">
        <is>
          <t>IIT Jodhpur Permanent Campus, NH 62, Karwar</t>
        </is>
      </c>
      <c r="Y51" s="21" t="inlineStr">
        <is>
          <t>Jodhpur</t>
        </is>
      </c>
      <c r="Z51" s="21" t="inlineStr">
        <is>
          <t>Rajasthan</t>
        </is>
      </c>
      <c r="AA51" s="21" t="inlineStr">
        <is>
          <t>342030</t>
        </is>
      </c>
      <c r="AB51" s="24" t="inlineStr">
        <is>
          <t>Official Cohort Registry (IIT Jodhpur MedTech Portal)</t>
        </is>
      </c>
    </row>
    <row r="52" ht="20" customHeight="1">
      <c r="A52" s="27" t="n">
        <v>48</v>
      </c>
      <c r="B52" s="28" t="inlineStr">
        <is>
          <t>M22ID006</t>
        </is>
      </c>
      <c r="C52" s="29" t="inlineStr">
        <is>
          <t>Garima Nath</t>
        </is>
      </c>
      <c r="D52" s="27" t="inlineStr">
        <is>
          <t>Masters</t>
        </is>
      </c>
      <c r="E52" s="30" t="inlineStr">
        <is>
          <t>M.Tech in Medical Technology</t>
        </is>
      </c>
      <c r="F52" s="27" t="n">
        <v>2022</v>
      </c>
      <c r="G52" s="27" t="n">
        <v>2024</v>
      </c>
      <c r="H52" s="25" t="inlineStr">
        <is>
          <t>Alumni</t>
        </is>
      </c>
      <c r="I52" s="30" t="inlineStr">
        <is>
          <t>Medical Technology</t>
        </is>
      </c>
      <c r="J52" s="30" t="inlineStr">
        <is>
          <t>Faculty Board (IDRP / AIIMS-IIT Joint)</t>
        </is>
      </c>
      <c r="K52" s="30" t="inlineStr">
        <is>
          <t>m22id006@iitj.ac.in</t>
        </is>
      </c>
      <c r="L52" s="27" t="inlineStr">
        <is>
          <t>-</t>
        </is>
      </c>
      <c r="M52" s="27" t="n">
        <v>0</v>
      </c>
      <c r="N52" s="30" t="inlineStr">
        <is>
          <t>-</t>
        </is>
      </c>
      <c r="O52" s="27" t="n">
        <v>0</v>
      </c>
      <c r="P52" s="30" t="inlineStr">
        <is>
          <t>-</t>
        </is>
      </c>
      <c r="Q52" s="27" t="n">
        <v>0</v>
      </c>
      <c r="R52" s="30" t="inlineStr">
        <is>
          <t>-</t>
        </is>
      </c>
      <c r="S52" s="27" t="n">
        <v>0</v>
      </c>
      <c r="T52" s="30" t="inlineStr">
        <is>
          <t>-</t>
        </is>
      </c>
      <c r="U52" s="27" t="inlineStr">
        <is>
          <t>-</t>
        </is>
      </c>
      <c r="V52" s="27" t="inlineStr">
        <is>
          <t>-</t>
        </is>
      </c>
      <c r="W52" s="30" t="inlineStr">
        <is>
          <t>Centre for Medical Technologies (IDRP)</t>
        </is>
      </c>
      <c r="X52" s="30" t="inlineStr">
        <is>
          <t>IIT Jodhpur Permanent Campus, NH 62, Karwar</t>
        </is>
      </c>
      <c r="Y52" s="27" t="inlineStr">
        <is>
          <t>Jodhpur</t>
        </is>
      </c>
      <c r="Z52" s="27" t="inlineStr">
        <is>
          <t>Rajasthan</t>
        </is>
      </c>
      <c r="AA52" s="27" t="inlineStr">
        <is>
          <t>342030</t>
        </is>
      </c>
      <c r="AB52" s="30" t="inlineStr">
        <is>
          <t>Official Cohort Registry (IIT Jodhpur MedTech Portal)</t>
        </is>
      </c>
    </row>
    <row r="53" ht="20" customHeight="1">
      <c r="A53" s="21" t="n">
        <v>49</v>
      </c>
      <c r="B53" s="22" t="inlineStr">
        <is>
          <t>M22ID008</t>
        </is>
      </c>
      <c r="C53" s="23" t="inlineStr">
        <is>
          <t>Abu Sanny Mottalib</t>
        </is>
      </c>
      <c r="D53" s="21" t="inlineStr">
        <is>
          <t>Masters</t>
        </is>
      </c>
      <c r="E53" s="24" t="inlineStr">
        <is>
          <t>M.Tech in Medical Technology</t>
        </is>
      </c>
      <c r="F53" s="21" t="n">
        <v>2022</v>
      </c>
      <c r="G53" s="21" t="n">
        <v>2024</v>
      </c>
      <c r="H53" s="25" t="inlineStr">
        <is>
          <t>Alumni</t>
        </is>
      </c>
      <c r="I53" s="24" t="inlineStr">
        <is>
          <t>Medical Technology</t>
        </is>
      </c>
      <c r="J53" s="24" t="inlineStr">
        <is>
          <t>Faculty Board (IDRP / AIIMS-IIT Joint)</t>
        </is>
      </c>
      <c r="K53" s="24" t="inlineStr">
        <is>
          <t>m22id008@iitj.ac.in</t>
        </is>
      </c>
      <c r="L53" s="21" t="inlineStr">
        <is>
          <t>-</t>
        </is>
      </c>
      <c r="M53" s="21" t="n">
        <v>0</v>
      </c>
      <c r="N53" s="24" t="inlineStr">
        <is>
          <t>-</t>
        </is>
      </c>
      <c r="O53" s="21" t="n">
        <v>0</v>
      </c>
      <c r="P53" s="24" t="inlineStr">
        <is>
          <t>-</t>
        </is>
      </c>
      <c r="Q53" s="21" t="n">
        <v>0</v>
      </c>
      <c r="R53" s="24" t="inlineStr">
        <is>
          <t>-</t>
        </is>
      </c>
      <c r="S53" s="21" t="n">
        <v>0</v>
      </c>
      <c r="T53" s="24" t="inlineStr">
        <is>
          <t>-</t>
        </is>
      </c>
      <c r="U53" s="21" t="inlineStr">
        <is>
          <t>-</t>
        </is>
      </c>
      <c r="V53" s="21" t="inlineStr">
        <is>
          <t>-</t>
        </is>
      </c>
      <c r="W53" s="24" t="inlineStr">
        <is>
          <t>Centre for Medical Technologies (IDRP)</t>
        </is>
      </c>
      <c r="X53" s="24" t="inlineStr">
        <is>
          <t>IIT Jodhpur Permanent Campus, NH 62, Karwar</t>
        </is>
      </c>
      <c r="Y53" s="21" t="inlineStr">
        <is>
          <t>Jodhpur</t>
        </is>
      </c>
      <c r="Z53" s="21" t="inlineStr">
        <is>
          <t>Rajasthan</t>
        </is>
      </c>
      <c r="AA53" s="21" t="inlineStr">
        <is>
          <t>342030</t>
        </is>
      </c>
      <c r="AB53" s="24" t="inlineStr">
        <is>
          <t>Official Cohort Registry (IIT Jodhpur MedTech Portal)</t>
        </is>
      </c>
    </row>
    <row r="54" ht="20" customHeight="1">
      <c r="A54" s="27" t="n">
        <v>50</v>
      </c>
      <c r="B54" s="28" t="inlineStr">
        <is>
          <t>P22ID001</t>
        </is>
      </c>
      <c r="C54" s="29" t="inlineStr">
        <is>
          <t>Anshuman Srivastava</t>
        </is>
      </c>
      <c r="D54" s="27" t="inlineStr">
        <is>
          <t>PhD</t>
        </is>
      </c>
      <c r="E54" s="30" t="inlineStr">
        <is>
          <t>Ph.D. in Medical Technology</t>
        </is>
      </c>
      <c r="F54" s="27" t="n">
        <v>2022</v>
      </c>
      <c r="G54" s="27" t="n">
        <v>2027</v>
      </c>
      <c r="H54" s="31" t="inlineStr">
        <is>
          <t>Active</t>
        </is>
      </c>
      <c r="I54" s="30" t="inlineStr">
        <is>
          <t>Sensors &amp; Microfluidic Diagnostics</t>
        </is>
      </c>
      <c r="J54" s="30" t="inlineStr">
        <is>
          <t>Prof. Ajay Agarwal (IIT Jodhpur) &amp; Dr. Arun Singh (AIIMS Jodhpur)</t>
        </is>
      </c>
      <c r="K54" s="30" t="inlineStr">
        <is>
          <t>p22id001@iitj.ac.in</t>
        </is>
      </c>
      <c r="L54" s="27" t="inlineStr">
        <is>
          <t>+91 99182 33445</t>
        </is>
      </c>
      <c r="M54" s="27" t="n">
        <v>0</v>
      </c>
      <c r="N54" s="30" t="inlineStr">
        <is>
          <t>-</t>
        </is>
      </c>
      <c r="O54" s="27" t="n">
        <v>0</v>
      </c>
      <c r="P54" s="30" t="inlineStr">
        <is>
          <t>-</t>
        </is>
      </c>
      <c r="Q54" s="27" t="n">
        <v>0</v>
      </c>
      <c r="R54" s="30" t="inlineStr">
        <is>
          <t>-</t>
        </is>
      </c>
      <c r="S54" s="27" t="n">
        <v>0</v>
      </c>
      <c r="T54" s="30" t="inlineStr">
        <is>
          <t>-</t>
        </is>
      </c>
      <c r="U54" s="27" t="inlineStr">
        <is>
          <t>1998-12-04</t>
        </is>
      </c>
      <c r="V54" s="27" t="inlineStr">
        <is>
          <t>Male</t>
        </is>
      </c>
      <c r="W54" s="30" t="inlineStr">
        <is>
          <t>Centre for Medical Technologies (IDRP)</t>
        </is>
      </c>
      <c r="X54" s="30" t="inlineStr">
        <is>
          <t>Ph.D. Scholar Block B, Room 102, IIT Jodhpur</t>
        </is>
      </c>
      <c r="Y54" s="27" t="inlineStr">
        <is>
          <t>Jodhpur</t>
        </is>
      </c>
      <c r="Z54" s="27" t="inlineStr">
        <is>
          <t>Rajasthan</t>
        </is>
      </c>
      <c r="AA54" s="27" t="inlineStr">
        <is>
          <t>342030</t>
        </is>
      </c>
      <c r="AB54" s="30" t="inlineStr">
        <is>
          <t>Centre for Medical Technologies Seed Registry</t>
        </is>
      </c>
    </row>
    <row r="55" ht="20" customHeight="1">
      <c r="A55" s="21" t="n">
        <v>51</v>
      </c>
      <c r="B55" s="22" t="inlineStr">
        <is>
          <t>P22ID002</t>
        </is>
      </c>
      <c r="C55" s="23" t="inlineStr">
        <is>
          <t>Sukanya Pandey</t>
        </is>
      </c>
      <c r="D55" s="21" t="inlineStr">
        <is>
          <t>PhD</t>
        </is>
      </c>
      <c r="E55" s="24" t="inlineStr">
        <is>
          <t>Ph.D. in Medical Technology</t>
        </is>
      </c>
      <c r="F55" s="21" t="n">
        <v>2022</v>
      </c>
      <c r="G55" s="21" t="n">
        <v>2027</v>
      </c>
      <c r="H55" s="25" t="inlineStr">
        <is>
          <t>Alumni</t>
        </is>
      </c>
      <c r="I55" s="24" t="inlineStr">
        <is>
          <t>Medical Technology</t>
        </is>
      </c>
      <c r="J55" s="24" t="inlineStr">
        <is>
          <t>Faculty Board (IDRP / AIIMS-IIT Joint)</t>
        </is>
      </c>
      <c r="K55" s="24" t="inlineStr">
        <is>
          <t>p22id002@iitj.ac.in</t>
        </is>
      </c>
      <c r="L55" s="21" t="inlineStr">
        <is>
          <t>-</t>
        </is>
      </c>
      <c r="M55" s="21" t="n">
        <v>0</v>
      </c>
      <c r="N55" s="24" t="inlineStr">
        <is>
          <t>-</t>
        </is>
      </c>
      <c r="O55" s="21" t="n">
        <v>0</v>
      </c>
      <c r="P55" s="24" t="inlineStr">
        <is>
          <t>-</t>
        </is>
      </c>
      <c r="Q55" s="21" t="n">
        <v>0</v>
      </c>
      <c r="R55" s="24" t="inlineStr">
        <is>
          <t>-</t>
        </is>
      </c>
      <c r="S55" s="21" t="n">
        <v>0</v>
      </c>
      <c r="T55" s="24" t="inlineStr">
        <is>
          <t>-</t>
        </is>
      </c>
      <c r="U55" s="21" t="inlineStr">
        <is>
          <t>-</t>
        </is>
      </c>
      <c r="V55" s="21" t="inlineStr">
        <is>
          <t>-</t>
        </is>
      </c>
      <c r="W55" s="24" t="inlineStr">
        <is>
          <t>Centre for Medical Technologies (IDRP)</t>
        </is>
      </c>
      <c r="X55" s="24" t="inlineStr">
        <is>
          <t>IIT Jodhpur Permanent Campus, NH 62, Karwar</t>
        </is>
      </c>
      <c r="Y55" s="21" t="inlineStr">
        <is>
          <t>Jodhpur</t>
        </is>
      </c>
      <c r="Z55" s="21" t="inlineStr">
        <is>
          <t>Rajasthan</t>
        </is>
      </c>
      <c r="AA55" s="21" t="inlineStr">
        <is>
          <t>342030</t>
        </is>
      </c>
      <c r="AB55" s="24" t="inlineStr">
        <is>
          <t>Official Cohort Registry (IIT Jodhpur MedTech Portal)</t>
        </is>
      </c>
    </row>
    <row r="56" ht="20" customHeight="1">
      <c r="A56" s="27" t="n">
        <v>52</v>
      </c>
      <c r="B56" s="28" t="inlineStr">
        <is>
          <t>P22ID003</t>
        </is>
      </c>
      <c r="C56" s="29" t="inlineStr">
        <is>
          <t>Sangeeta Didel</t>
        </is>
      </c>
      <c r="D56" s="27" t="inlineStr">
        <is>
          <t>PhD</t>
        </is>
      </c>
      <c r="E56" s="30" t="inlineStr">
        <is>
          <t>Ph.D. in Medical Technology</t>
        </is>
      </c>
      <c r="F56" s="27" t="n">
        <v>2022</v>
      </c>
      <c r="G56" s="27" t="n">
        <v>2027</v>
      </c>
      <c r="H56" s="25" t="inlineStr">
        <is>
          <t>Alumni</t>
        </is>
      </c>
      <c r="I56" s="30" t="inlineStr">
        <is>
          <t>Medical Technology</t>
        </is>
      </c>
      <c r="J56" s="30" t="inlineStr">
        <is>
          <t>Faculty Board (IDRP / AIIMS-IIT Joint)</t>
        </is>
      </c>
      <c r="K56" s="30" t="inlineStr">
        <is>
          <t>p22id003@iitj.ac.in</t>
        </is>
      </c>
      <c r="L56" s="27" t="inlineStr">
        <is>
          <t>-</t>
        </is>
      </c>
      <c r="M56" s="27" t="n">
        <v>0</v>
      </c>
      <c r="N56" s="30" t="inlineStr">
        <is>
          <t>-</t>
        </is>
      </c>
      <c r="O56" s="27" t="n">
        <v>0</v>
      </c>
      <c r="P56" s="30" t="inlineStr">
        <is>
          <t>-</t>
        </is>
      </c>
      <c r="Q56" s="27" t="n">
        <v>0</v>
      </c>
      <c r="R56" s="30" t="inlineStr">
        <is>
          <t>-</t>
        </is>
      </c>
      <c r="S56" s="27" t="n">
        <v>0</v>
      </c>
      <c r="T56" s="30" t="inlineStr">
        <is>
          <t>-</t>
        </is>
      </c>
      <c r="U56" s="27" t="inlineStr">
        <is>
          <t>-</t>
        </is>
      </c>
      <c r="V56" s="27" t="inlineStr">
        <is>
          <t>-</t>
        </is>
      </c>
      <c r="W56" s="30" t="inlineStr">
        <is>
          <t>Centre for Medical Technologies (IDRP)</t>
        </is>
      </c>
      <c r="X56" s="30" t="inlineStr">
        <is>
          <t>IIT Jodhpur Permanent Campus, NH 62, Karwar</t>
        </is>
      </c>
      <c r="Y56" s="27" t="inlineStr">
        <is>
          <t>Jodhpur</t>
        </is>
      </c>
      <c r="Z56" s="27" t="inlineStr">
        <is>
          <t>Rajasthan</t>
        </is>
      </c>
      <c r="AA56" s="27" t="inlineStr">
        <is>
          <t>342030</t>
        </is>
      </c>
      <c r="AB56" s="30" t="inlineStr">
        <is>
          <t>Official Cohort Registry (IIT Jodhpur MedTech Portal)</t>
        </is>
      </c>
    </row>
    <row r="57" ht="20" customHeight="1">
      <c r="A57" s="21" t="n">
        <v>53</v>
      </c>
      <c r="B57" s="22" t="inlineStr">
        <is>
          <t>P22ID004</t>
        </is>
      </c>
      <c r="C57" s="23" t="inlineStr">
        <is>
          <t>Rohit Gupta</t>
        </is>
      </c>
      <c r="D57" s="21" t="inlineStr">
        <is>
          <t>PhD</t>
        </is>
      </c>
      <c r="E57" s="24" t="inlineStr">
        <is>
          <t>Ph.D. in Medical Technology</t>
        </is>
      </c>
      <c r="F57" s="21" t="n">
        <v>2022</v>
      </c>
      <c r="G57" s="21" t="n">
        <v>2027</v>
      </c>
      <c r="H57" s="25" t="inlineStr">
        <is>
          <t>Alumni</t>
        </is>
      </c>
      <c r="I57" s="24" t="inlineStr">
        <is>
          <t>Medical Technology</t>
        </is>
      </c>
      <c r="J57" s="24" t="inlineStr">
        <is>
          <t>Faculty Board (IDRP / AIIMS-IIT Joint)</t>
        </is>
      </c>
      <c r="K57" s="24" t="inlineStr">
        <is>
          <t>p22id004@iitj.ac.in</t>
        </is>
      </c>
      <c r="L57" s="21" t="inlineStr">
        <is>
          <t>-</t>
        </is>
      </c>
      <c r="M57" s="21" t="n">
        <v>0</v>
      </c>
      <c r="N57" s="24" t="inlineStr">
        <is>
          <t>-</t>
        </is>
      </c>
      <c r="O57" s="21" t="n">
        <v>0</v>
      </c>
      <c r="P57" s="24" t="inlineStr">
        <is>
          <t>-</t>
        </is>
      </c>
      <c r="Q57" s="21" t="n">
        <v>0</v>
      </c>
      <c r="R57" s="24" t="inlineStr">
        <is>
          <t>-</t>
        </is>
      </c>
      <c r="S57" s="21" t="n">
        <v>0</v>
      </c>
      <c r="T57" s="24" t="inlineStr">
        <is>
          <t>-</t>
        </is>
      </c>
      <c r="U57" s="21" t="inlineStr">
        <is>
          <t>-</t>
        </is>
      </c>
      <c r="V57" s="21" t="inlineStr">
        <is>
          <t>-</t>
        </is>
      </c>
      <c r="W57" s="24" t="inlineStr">
        <is>
          <t>Centre for Medical Technologies (IDRP)</t>
        </is>
      </c>
      <c r="X57" s="24" t="inlineStr">
        <is>
          <t>IIT Jodhpur Permanent Campus, NH 62, Karwar</t>
        </is>
      </c>
      <c r="Y57" s="21" t="inlineStr">
        <is>
          <t>Jodhpur</t>
        </is>
      </c>
      <c r="Z57" s="21" t="inlineStr">
        <is>
          <t>Rajasthan</t>
        </is>
      </c>
      <c r="AA57" s="21" t="inlineStr">
        <is>
          <t>342030</t>
        </is>
      </c>
      <c r="AB57" s="24" t="inlineStr">
        <is>
          <t>Official Cohort Registry (IIT Jodhpur MedTech Portal)</t>
        </is>
      </c>
    </row>
    <row r="58" ht="20" customHeight="1">
      <c r="A58" s="27" t="n">
        <v>54</v>
      </c>
      <c r="B58" s="28" t="inlineStr">
        <is>
          <t>D22ID001</t>
        </is>
      </c>
      <c r="C58" s="29" t="inlineStr">
        <is>
          <t>Jyoti Yadav</t>
        </is>
      </c>
      <c r="D58" s="27" t="inlineStr">
        <is>
          <t>Dual Degree</t>
        </is>
      </c>
      <c r="E58" s="30" t="inlineStr">
        <is>
          <t>M.Tech-Ph.D. Dual Degree in Medical Technology</t>
        </is>
      </c>
      <c r="F58" s="27" t="n">
        <v>2022</v>
      </c>
      <c r="G58" s="27" t="n">
        <v>2027</v>
      </c>
      <c r="H58" s="25" t="inlineStr">
        <is>
          <t>Alumni</t>
        </is>
      </c>
      <c r="I58" s="30" t="inlineStr">
        <is>
          <t>Medical Technology</t>
        </is>
      </c>
      <c r="J58" s="30" t="inlineStr">
        <is>
          <t>Faculty Board (IDRP / AIIMS-IIT Joint)</t>
        </is>
      </c>
      <c r="K58" s="30" t="inlineStr">
        <is>
          <t>d22id001@iitj.ac.in</t>
        </is>
      </c>
      <c r="L58" s="27" t="inlineStr">
        <is>
          <t>-</t>
        </is>
      </c>
      <c r="M58" s="27" t="n">
        <v>0</v>
      </c>
      <c r="N58" s="30" t="inlineStr">
        <is>
          <t>-</t>
        </is>
      </c>
      <c r="O58" s="27" t="n">
        <v>0</v>
      </c>
      <c r="P58" s="30" t="inlineStr">
        <is>
          <t>-</t>
        </is>
      </c>
      <c r="Q58" s="27" t="n">
        <v>0</v>
      </c>
      <c r="R58" s="30" t="inlineStr">
        <is>
          <t>-</t>
        </is>
      </c>
      <c r="S58" s="27" t="n">
        <v>0</v>
      </c>
      <c r="T58" s="30" t="inlineStr">
        <is>
          <t>-</t>
        </is>
      </c>
      <c r="U58" s="27" t="inlineStr">
        <is>
          <t>-</t>
        </is>
      </c>
      <c r="V58" s="27" t="inlineStr">
        <is>
          <t>-</t>
        </is>
      </c>
      <c r="W58" s="30" t="inlineStr">
        <is>
          <t>Centre for Medical Technologies (IDRP)</t>
        </is>
      </c>
      <c r="X58" s="30" t="inlineStr">
        <is>
          <t>IIT Jodhpur Permanent Campus, NH 62, Karwar</t>
        </is>
      </c>
      <c r="Y58" s="27" t="inlineStr">
        <is>
          <t>Jodhpur</t>
        </is>
      </c>
      <c r="Z58" s="27" t="inlineStr">
        <is>
          <t>Rajasthan</t>
        </is>
      </c>
      <c r="AA58" s="27" t="inlineStr">
        <is>
          <t>342030</t>
        </is>
      </c>
      <c r="AB58" s="30" t="inlineStr">
        <is>
          <t>Official Cohort Registry (IIT Jodhpur MedTech Portal)</t>
        </is>
      </c>
    </row>
    <row r="59" ht="20" customHeight="1">
      <c r="A59" s="21" t="n">
        <v>55</v>
      </c>
      <c r="B59" s="22" t="inlineStr">
        <is>
          <t>D22ID002</t>
        </is>
      </c>
      <c r="C59" s="23" t="inlineStr">
        <is>
          <t>Prateek Mishra</t>
        </is>
      </c>
      <c r="D59" s="21" t="inlineStr">
        <is>
          <t>Dual Degree</t>
        </is>
      </c>
      <c r="E59" s="24" t="inlineStr">
        <is>
          <t>M.Tech-Ph.D. Dual Degree in Medical Technology</t>
        </is>
      </c>
      <c r="F59" s="21" t="n">
        <v>2022</v>
      </c>
      <c r="G59" s="21" t="n">
        <v>2027</v>
      </c>
      <c r="H59" s="25" t="inlineStr">
        <is>
          <t>Alumni</t>
        </is>
      </c>
      <c r="I59" s="24" t="inlineStr">
        <is>
          <t>Medical Technology</t>
        </is>
      </c>
      <c r="J59" s="24" t="inlineStr">
        <is>
          <t>Faculty Board (IDRP / AIIMS-IIT Joint)</t>
        </is>
      </c>
      <c r="K59" s="24" t="inlineStr">
        <is>
          <t>d22id002@iitj.ac.in</t>
        </is>
      </c>
      <c r="L59" s="21" t="inlineStr">
        <is>
          <t>-</t>
        </is>
      </c>
      <c r="M59" s="21" t="n">
        <v>0</v>
      </c>
      <c r="N59" s="24" t="inlineStr">
        <is>
          <t>-</t>
        </is>
      </c>
      <c r="O59" s="21" t="n">
        <v>0</v>
      </c>
      <c r="P59" s="24" t="inlineStr">
        <is>
          <t>-</t>
        </is>
      </c>
      <c r="Q59" s="21" t="n">
        <v>0</v>
      </c>
      <c r="R59" s="24" t="inlineStr">
        <is>
          <t>-</t>
        </is>
      </c>
      <c r="S59" s="21" t="n">
        <v>0</v>
      </c>
      <c r="T59" s="24" t="inlineStr">
        <is>
          <t>-</t>
        </is>
      </c>
      <c r="U59" s="21" t="inlineStr">
        <is>
          <t>-</t>
        </is>
      </c>
      <c r="V59" s="21" t="inlineStr">
        <is>
          <t>-</t>
        </is>
      </c>
      <c r="W59" s="24" t="inlineStr">
        <is>
          <t>Centre for Medical Technologies (IDRP)</t>
        </is>
      </c>
      <c r="X59" s="24" t="inlineStr">
        <is>
          <t>IIT Jodhpur Permanent Campus, NH 62, Karwar</t>
        </is>
      </c>
      <c r="Y59" s="21" t="inlineStr">
        <is>
          <t>Jodhpur</t>
        </is>
      </c>
      <c r="Z59" s="21" t="inlineStr">
        <is>
          <t>Rajasthan</t>
        </is>
      </c>
      <c r="AA59" s="21" t="inlineStr">
        <is>
          <t>342030</t>
        </is>
      </c>
      <c r="AB59" s="24" t="inlineStr">
        <is>
          <t>Official Cohort Registry (IIT Jodhpur MedTech Portal)</t>
        </is>
      </c>
    </row>
    <row r="60" ht="20" customHeight="1">
      <c r="A60" s="27" t="n">
        <v>56</v>
      </c>
      <c r="B60" s="28" t="inlineStr">
        <is>
          <t>D22ID003</t>
        </is>
      </c>
      <c r="C60" s="29" t="inlineStr">
        <is>
          <t>Abhijeet Rajak</t>
        </is>
      </c>
      <c r="D60" s="27" t="inlineStr">
        <is>
          <t>Dual Degree</t>
        </is>
      </c>
      <c r="E60" s="30" t="inlineStr">
        <is>
          <t>M.Tech-Ph.D. Dual Degree in Medical Technology</t>
        </is>
      </c>
      <c r="F60" s="27" t="n">
        <v>2022</v>
      </c>
      <c r="G60" s="27" t="n">
        <v>2027</v>
      </c>
      <c r="H60" s="25" t="inlineStr">
        <is>
          <t>Alumni</t>
        </is>
      </c>
      <c r="I60" s="30" t="inlineStr">
        <is>
          <t>Automated Multi-Channel Diagnostic Systems</t>
        </is>
      </c>
      <c r="J60" s="30" t="inlineStr">
        <is>
          <t>Dr. Arpit Khandelwal (IIT Jodhpur)</t>
        </is>
      </c>
      <c r="K60" s="30" t="inlineStr">
        <is>
          <t>d22id003@iitj.ac.in</t>
        </is>
      </c>
      <c r="L60" s="27" t="inlineStr">
        <is>
          <t>-</t>
        </is>
      </c>
      <c r="M60" s="27" t="n">
        <v>0</v>
      </c>
      <c r="N60" s="30" t="inlineStr">
        <is>
          <t>-</t>
        </is>
      </c>
      <c r="O60" s="26" t="n">
        <v>1</v>
      </c>
      <c r="P60" s="30" t="inlineStr">
        <is>
          <t>App 202511108503: Automated Multi-Channel Point-of-Care Diagnostics Device</t>
        </is>
      </c>
      <c r="Q60" s="27" t="n">
        <v>0</v>
      </c>
      <c r="R60" s="30" t="inlineStr">
        <is>
          <t>-</t>
        </is>
      </c>
      <c r="S60" s="27" t="n">
        <v>0</v>
      </c>
      <c r="T60" s="30" t="inlineStr">
        <is>
          <t>-</t>
        </is>
      </c>
      <c r="U60" s="27" t="inlineStr">
        <is>
          <t>-</t>
        </is>
      </c>
      <c r="V60" s="27" t="inlineStr">
        <is>
          <t>-</t>
        </is>
      </c>
      <c r="W60" s="30" t="inlineStr">
        <is>
          <t>Centre for Medical Technologies (IDRP)</t>
        </is>
      </c>
      <c r="X60" s="30" t="inlineStr">
        <is>
          <t>IIT Jodhpur Permanent Campus, NH 62, Karwar</t>
        </is>
      </c>
      <c r="Y60" s="27" t="inlineStr">
        <is>
          <t>Jodhpur</t>
        </is>
      </c>
      <c r="Z60" s="27" t="inlineStr">
        <is>
          <t>Rajasthan</t>
        </is>
      </c>
      <c r="AA60" s="27" t="inlineStr">
        <is>
          <t>342030</t>
        </is>
      </c>
      <c r="AB60" s="30" t="inlineStr">
        <is>
          <t>Official Cohort Registry (IIT Jodhpur MedTech Portal)</t>
        </is>
      </c>
    </row>
    <row r="61" ht="20" customHeight="1">
      <c r="A61" s="21" t="n">
        <v>57</v>
      </c>
      <c r="B61" s="22" t="inlineStr">
        <is>
          <t>M23IM1001</t>
        </is>
      </c>
      <c r="C61" s="23" t="inlineStr">
        <is>
          <t>Sivasurya PM</t>
        </is>
      </c>
      <c r="D61" s="21" t="inlineStr">
        <is>
          <t>Masters</t>
        </is>
      </c>
      <c r="E61" s="24" t="inlineStr">
        <is>
          <t>M.Tech in Medical Technology</t>
        </is>
      </c>
      <c r="F61" s="21" t="n">
        <v>2023</v>
      </c>
      <c r="G61" s="21" t="n">
        <v>2025</v>
      </c>
      <c r="H61" s="25" t="inlineStr">
        <is>
          <t>Alumni</t>
        </is>
      </c>
      <c r="I61" s="24" t="inlineStr">
        <is>
          <t>Medical Technology</t>
        </is>
      </c>
      <c r="J61" s="24" t="inlineStr">
        <is>
          <t>Faculty Board (IDRP / AIIMS-IIT Joint)</t>
        </is>
      </c>
      <c r="K61" s="24" t="inlineStr">
        <is>
          <t>m23im1001@iitj.ac.in</t>
        </is>
      </c>
      <c r="L61" s="21" t="inlineStr">
        <is>
          <t>-</t>
        </is>
      </c>
      <c r="M61" s="21" t="n">
        <v>0</v>
      </c>
      <c r="N61" s="24" t="inlineStr">
        <is>
          <t>-</t>
        </is>
      </c>
      <c r="O61" s="21" t="n">
        <v>0</v>
      </c>
      <c r="P61" s="24" t="inlineStr">
        <is>
          <t>-</t>
        </is>
      </c>
      <c r="Q61" s="21" t="n">
        <v>0</v>
      </c>
      <c r="R61" s="24" t="inlineStr">
        <is>
          <t>-</t>
        </is>
      </c>
      <c r="S61" s="21" t="n">
        <v>0</v>
      </c>
      <c r="T61" s="24" t="inlineStr">
        <is>
          <t>-</t>
        </is>
      </c>
      <c r="U61" s="21" t="inlineStr">
        <is>
          <t>-</t>
        </is>
      </c>
      <c r="V61" s="21" t="inlineStr">
        <is>
          <t>-</t>
        </is>
      </c>
      <c r="W61" s="24" t="inlineStr">
        <is>
          <t>Centre for Medical Technologies (IDRP)</t>
        </is>
      </c>
      <c r="X61" s="24" t="inlineStr">
        <is>
          <t>IIT Jodhpur Permanent Campus, NH 62, Karwar</t>
        </is>
      </c>
      <c r="Y61" s="21" t="inlineStr">
        <is>
          <t>Jodhpur</t>
        </is>
      </c>
      <c r="Z61" s="21" t="inlineStr">
        <is>
          <t>Rajasthan</t>
        </is>
      </c>
      <c r="AA61" s="21" t="inlineStr">
        <is>
          <t>342030</t>
        </is>
      </c>
      <c r="AB61" s="24" t="inlineStr">
        <is>
          <t>Official Cohort Registry (IIT Jodhpur MedTech Portal)</t>
        </is>
      </c>
    </row>
    <row r="62" ht="20" customHeight="1">
      <c r="A62" s="27" t="n">
        <v>58</v>
      </c>
      <c r="B62" s="28" t="inlineStr">
        <is>
          <t>M23IM1003</t>
        </is>
      </c>
      <c r="C62" s="29" t="inlineStr">
        <is>
          <t>Ashwin C R</t>
        </is>
      </c>
      <c r="D62" s="27" t="inlineStr">
        <is>
          <t>Masters</t>
        </is>
      </c>
      <c r="E62" s="30" t="inlineStr">
        <is>
          <t>M.Tech in Medical Technology</t>
        </is>
      </c>
      <c r="F62" s="27" t="n">
        <v>2023</v>
      </c>
      <c r="G62" s="27" t="n">
        <v>2025</v>
      </c>
      <c r="H62" s="25" t="inlineStr">
        <is>
          <t>Alumni</t>
        </is>
      </c>
      <c r="I62" s="30" t="inlineStr">
        <is>
          <t>Intraoral Retraction &amp; Surgical Robotics</t>
        </is>
      </c>
      <c r="J62" s="30" t="inlineStr">
        <is>
          <t>Dr. Bhivraj Suthar (IIT Jodhpur) &amp; Dr. Ankita Chugh (AIIMS Jodhpur)</t>
        </is>
      </c>
      <c r="K62" s="30" t="inlineStr">
        <is>
          <t>m23im1003@iitj.ac.in</t>
        </is>
      </c>
      <c r="L62" s="27" t="inlineStr">
        <is>
          <t>-</t>
        </is>
      </c>
      <c r="M62" s="27" t="n">
        <v>0</v>
      </c>
      <c r="N62" s="30" t="inlineStr">
        <is>
          <t>-</t>
        </is>
      </c>
      <c r="O62" s="26" t="n">
        <v>1</v>
      </c>
      <c r="P62" s="30" t="inlineStr">
        <is>
          <t>App #202511105376: A Multi-Functional Retracting Device for Intraoral Procedures and Method Thereof (Filed) | App 202511105376: Multi-Functional Retracting Device for Minimally Invasive Oral Surgery</t>
        </is>
      </c>
      <c r="Q62" s="27" t="n">
        <v>0</v>
      </c>
      <c r="R62" s="30" t="inlineStr">
        <is>
          <t>-</t>
        </is>
      </c>
      <c r="S62" s="26" t="n">
        <v>1</v>
      </c>
      <c r="T62" s="30" t="inlineStr">
        <is>
          <t>Silver Medal for Academic Excellence, Master's in Medical Technologies</t>
        </is>
      </c>
      <c r="U62" s="27" t="inlineStr">
        <is>
          <t>-</t>
        </is>
      </c>
      <c r="V62" s="27" t="inlineStr">
        <is>
          <t>-</t>
        </is>
      </c>
      <c r="W62" s="30" t="inlineStr">
        <is>
          <t>Centre for Medical Technologies (IDRP)</t>
        </is>
      </c>
      <c r="X62" s="30" t="inlineStr">
        <is>
          <t>IIT Jodhpur Permanent Campus, NH 62, Karwar</t>
        </is>
      </c>
      <c r="Y62" s="27" t="inlineStr">
        <is>
          <t>Jodhpur</t>
        </is>
      </c>
      <c r="Z62" s="27" t="inlineStr">
        <is>
          <t>Rajasthan</t>
        </is>
      </c>
      <c r="AA62" s="27" t="inlineStr">
        <is>
          <t>342030</t>
        </is>
      </c>
      <c r="AB62" s="30" t="inlineStr">
        <is>
          <t>Official Cohort Registry (IIT Jodhpur MedTech Portal)</t>
        </is>
      </c>
    </row>
    <row r="63" ht="20" customHeight="1">
      <c r="A63" s="21" t="n">
        <v>59</v>
      </c>
      <c r="B63" s="22" t="inlineStr">
        <is>
          <t>P23IHC003</t>
        </is>
      </c>
      <c r="C63" s="23" t="inlineStr">
        <is>
          <t>Ankita Das</t>
        </is>
      </c>
      <c r="D63" s="21" t="inlineStr">
        <is>
          <t>PhD</t>
        </is>
      </c>
      <c r="E63" s="24" t="inlineStr">
        <is>
          <t>Ph.D. in Medical Technology</t>
        </is>
      </c>
      <c r="F63" s="21" t="n">
        <v>2023</v>
      </c>
      <c r="G63" s="21" t="n">
        <v>2028</v>
      </c>
      <c r="H63" s="31" t="inlineStr">
        <is>
          <t>Active</t>
        </is>
      </c>
      <c r="I63" s="24" t="inlineStr">
        <is>
          <t>Immunology, Biosensors &amp; Translational Diagnostics</t>
        </is>
      </c>
      <c r="J63" s="24" t="inlineStr">
        <is>
          <t>Dr. Sushmita Jha (IIT Jodhpur) &amp; Dr. Bharti Sharma (AIIMS Jodhpur)</t>
        </is>
      </c>
      <c r="K63" s="24" t="inlineStr">
        <is>
          <t>p23ihc003@iitj.ac.in</t>
        </is>
      </c>
      <c r="L63" s="21" t="inlineStr">
        <is>
          <t>+91 98301 98765</t>
        </is>
      </c>
      <c r="M63" s="26" t="n">
        <v>1</v>
      </c>
      <c r="N63" s="24" t="inlineStr">
        <is>
          <t>0 Journals, 1 Conferences, 0 Books. Venues: Immunocon2024 (First Author)</t>
        </is>
      </c>
      <c r="O63" s="21" t="n">
        <v>0</v>
      </c>
      <c r="P63" s="24" t="inlineStr">
        <is>
          <t>-</t>
        </is>
      </c>
      <c r="Q63" s="21" t="n">
        <v>0</v>
      </c>
      <c r="R63" s="24" t="inlineStr">
        <is>
          <t>-</t>
        </is>
      </c>
      <c r="S63" s="21" t="n">
        <v>0</v>
      </c>
      <c r="T63" s="24" t="inlineStr">
        <is>
          <t>-</t>
        </is>
      </c>
      <c r="U63" s="21" t="inlineStr">
        <is>
          <t>1999-07-19</t>
        </is>
      </c>
      <c r="V63" s="21" t="inlineStr">
        <is>
          <t>Female</t>
        </is>
      </c>
      <c r="W63" s="24" t="inlineStr">
        <is>
          <t>Centre for Medical Technologies (IDRP)</t>
        </is>
      </c>
      <c r="X63" s="24" t="inlineStr">
        <is>
          <t>Ph.D. Girls Hostel Block D, Room 112, IIT Jodhpur</t>
        </is>
      </c>
      <c r="Y63" s="21" t="inlineStr">
        <is>
          <t>Jodhpur</t>
        </is>
      </c>
      <c r="Z63" s="21" t="inlineStr">
        <is>
          <t>Rajasthan</t>
        </is>
      </c>
      <c r="AA63" s="21" t="inlineStr">
        <is>
          <t>342030</t>
        </is>
      </c>
      <c r="AB63" s="24" t="inlineStr">
        <is>
          <t>Centre for Medical Technologies Seed Registry</t>
        </is>
      </c>
    </row>
    <row r="64" ht="20" customHeight="1">
      <c r="A64" s="27" t="n">
        <v>60</v>
      </c>
      <c r="B64" s="28" t="inlineStr">
        <is>
          <t>P23IM0001</t>
        </is>
      </c>
      <c r="C64" s="29" t="inlineStr">
        <is>
          <t>Dhruv Khokhriya</t>
        </is>
      </c>
      <c r="D64" s="27" t="inlineStr">
        <is>
          <t>PhD</t>
        </is>
      </c>
      <c r="E64" s="30" t="inlineStr">
        <is>
          <t>Ph.D. in Medical Technology</t>
        </is>
      </c>
      <c r="F64" s="27" t="n">
        <v>2023</v>
      </c>
      <c r="G64" s="27" t="n">
        <v>2028</v>
      </c>
      <c r="H64" s="25" t="inlineStr">
        <is>
          <t>Alumni</t>
        </is>
      </c>
      <c r="I64" s="30" t="inlineStr">
        <is>
          <t>Medical Technology</t>
        </is>
      </c>
      <c r="J64" s="30" t="inlineStr">
        <is>
          <t>Faculty Board (IDRP / AIIMS-IIT Joint)</t>
        </is>
      </c>
      <c r="K64" s="30" t="inlineStr">
        <is>
          <t>p23im0001@iitj.ac.in</t>
        </is>
      </c>
      <c r="L64" s="27" t="inlineStr">
        <is>
          <t>-</t>
        </is>
      </c>
      <c r="M64" s="27" t="n">
        <v>0</v>
      </c>
      <c r="N64" s="30" t="inlineStr">
        <is>
          <t>-</t>
        </is>
      </c>
      <c r="O64" s="27" t="n">
        <v>0</v>
      </c>
      <c r="P64" s="30" t="inlineStr">
        <is>
          <t>-</t>
        </is>
      </c>
      <c r="Q64" s="27" t="n">
        <v>0</v>
      </c>
      <c r="R64" s="30" t="inlineStr">
        <is>
          <t>-</t>
        </is>
      </c>
      <c r="S64" s="27" t="n">
        <v>0</v>
      </c>
      <c r="T64" s="30" t="inlineStr">
        <is>
          <t>-</t>
        </is>
      </c>
      <c r="U64" s="27" t="inlineStr">
        <is>
          <t>-</t>
        </is>
      </c>
      <c r="V64" s="27" t="inlineStr">
        <is>
          <t>-</t>
        </is>
      </c>
      <c r="W64" s="30" t="inlineStr">
        <is>
          <t>Centre for Medical Technologies (IDRP)</t>
        </is>
      </c>
      <c r="X64" s="30" t="inlineStr">
        <is>
          <t>IIT Jodhpur Permanent Campus, NH 62, Karwar</t>
        </is>
      </c>
      <c r="Y64" s="27" t="inlineStr">
        <is>
          <t>Jodhpur</t>
        </is>
      </c>
      <c r="Z64" s="27" t="inlineStr">
        <is>
          <t>Rajasthan</t>
        </is>
      </c>
      <c r="AA64" s="27" t="inlineStr">
        <is>
          <t>342030</t>
        </is>
      </c>
      <c r="AB64" s="30" t="inlineStr">
        <is>
          <t>Official Cohort Registry (IIT Jodhpur MedTech Portal)</t>
        </is>
      </c>
    </row>
    <row r="65" ht="20" customHeight="1">
      <c r="A65" s="21" t="n">
        <v>61</v>
      </c>
      <c r="B65" s="22" t="inlineStr">
        <is>
          <t>D23IM1001</t>
        </is>
      </c>
      <c r="C65" s="23" t="inlineStr">
        <is>
          <t>Divya Prakash Pandey</t>
        </is>
      </c>
      <c r="D65" s="21" t="inlineStr">
        <is>
          <t>Dual Degree</t>
        </is>
      </c>
      <c r="E65" s="24" t="inlineStr">
        <is>
          <t>M.Tech-Ph.D. Dual Degree in Medical Technology</t>
        </is>
      </c>
      <c r="F65" s="21" t="n">
        <v>2023</v>
      </c>
      <c r="G65" s="21" t="n">
        <v>2028</v>
      </c>
      <c r="H65" s="25" t="inlineStr">
        <is>
          <t>Alumni</t>
        </is>
      </c>
      <c r="I65" s="24" t="inlineStr">
        <is>
          <t>Medical Technology</t>
        </is>
      </c>
      <c r="J65" s="24" t="inlineStr">
        <is>
          <t>Faculty Board (IDRP / AIIMS-IIT Joint)</t>
        </is>
      </c>
      <c r="K65" s="24" t="inlineStr">
        <is>
          <t>d23im1001@iitj.ac.in</t>
        </is>
      </c>
      <c r="L65" s="21" t="inlineStr">
        <is>
          <t>-</t>
        </is>
      </c>
      <c r="M65" s="21" t="n">
        <v>0</v>
      </c>
      <c r="N65" s="24" t="inlineStr">
        <is>
          <t>-</t>
        </is>
      </c>
      <c r="O65" s="21" t="n">
        <v>0</v>
      </c>
      <c r="P65" s="24" t="inlineStr">
        <is>
          <t>-</t>
        </is>
      </c>
      <c r="Q65" s="21" t="n">
        <v>0</v>
      </c>
      <c r="R65" s="24" t="inlineStr">
        <is>
          <t>-</t>
        </is>
      </c>
      <c r="S65" s="21" t="n">
        <v>0</v>
      </c>
      <c r="T65" s="24" t="inlineStr">
        <is>
          <t>-</t>
        </is>
      </c>
      <c r="U65" s="21" t="inlineStr">
        <is>
          <t>-</t>
        </is>
      </c>
      <c r="V65" s="21" t="inlineStr">
        <is>
          <t>-</t>
        </is>
      </c>
      <c r="W65" s="24" t="inlineStr">
        <is>
          <t>Centre for Medical Technologies (IDRP)</t>
        </is>
      </c>
      <c r="X65" s="24" t="inlineStr">
        <is>
          <t>IIT Jodhpur Permanent Campus, NH 62, Karwar</t>
        </is>
      </c>
      <c r="Y65" s="21" t="inlineStr">
        <is>
          <t>Jodhpur</t>
        </is>
      </c>
      <c r="Z65" s="21" t="inlineStr">
        <is>
          <t>Rajasthan</t>
        </is>
      </c>
      <c r="AA65" s="21" t="inlineStr">
        <is>
          <t>342030</t>
        </is>
      </c>
      <c r="AB65" s="24" t="inlineStr">
        <is>
          <t>Official Cohort Registry (IIT Jodhpur MedTech Portal)</t>
        </is>
      </c>
    </row>
    <row r="66" ht="20" customHeight="1">
      <c r="A66" s="27" t="n">
        <v>62</v>
      </c>
      <c r="B66" s="28" t="inlineStr">
        <is>
          <t>M24IM1001</t>
        </is>
      </c>
      <c r="C66" s="29" t="inlineStr">
        <is>
          <t>Mahadevan</t>
        </is>
      </c>
      <c r="D66" s="27" t="inlineStr">
        <is>
          <t>Masters</t>
        </is>
      </c>
      <c r="E66" s="30" t="inlineStr">
        <is>
          <t>M.Tech in Medical Technology</t>
        </is>
      </c>
      <c r="F66" s="27" t="n">
        <v>2024</v>
      </c>
      <c r="G66" s="27" t="n">
        <v>2026</v>
      </c>
      <c r="H66" s="31" t="inlineStr">
        <is>
          <t>Active</t>
        </is>
      </c>
      <c r="I66" s="30" t="inlineStr">
        <is>
          <t>Medical Technology</t>
        </is>
      </c>
      <c r="J66" s="30" t="inlineStr">
        <is>
          <t>Faculty Board (IDRP / AIIMS-IIT Joint)</t>
        </is>
      </c>
      <c r="K66" s="30" t="inlineStr">
        <is>
          <t>m24im1001@iitj.ac.in</t>
        </is>
      </c>
      <c r="L66" s="27" t="inlineStr">
        <is>
          <t>-</t>
        </is>
      </c>
      <c r="M66" s="27" t="n">
        <v>0</v>
      </c>
      <c r="N66" s="30" t="inlineStr">
        <is>
          <t>-</t>
        </is>
      </c>
      <c r="O66" s="27" t="n">
        <v>0</v>
      </c>
      <c r="P66" s="30" t="inlineStr">
        <is>
          <t>-</t>
        </is>
      </c>
      <c r="Q66" s="27" t="n">
        <v>0</v>
      </c>
      <c r="R66" s="30" t="inlineStr">
        <is>
          <t>-</t>
        </is>
      </c>
      <c r="S66" s="27" t="n">
        <v>0</v>
      </c>
      <c r="T66" s="30" t="inlineStr">
        <is>
          <t>-</t>
        </is>
      </c>
      <c r="U66" s="27" t="inlineStr">
        <is>
          <t>-</t>
        </is>
      </c>
      <c r="V66" s="27" t="inlineStr">
        <is>
          <t>-</t>
        </is>
      </c>
      <c r="W66" s="30" t="inlineStr">
        <is>
          <t>Centre for Medical Technologies (IDRP)</t>
        </is>
      </c>
      <c r="X66" s="30" t="inlineStr">
        <is>
          <t>IIT Jodhpur Permanent Campus, NH 62, Karwar</t>
        </is>
      </c>
      <c r="Y66" s="27" t="inlineStr">
        <is>
          <t>Jodhpur</t>
        </is>
      </c>
      <c r="Z66" s="27" t="inlineStr">
        <is>
          <t>Rajasthan</t>
        </is>
      </c>
      <c r="AA66" s="27" t="inlineStr">
        <is>
          <t>342030</t>
        </is>
      </c>
      <c r="AB66" s="30" t="inlineStr">
        <is>
          <t>Official Cohort Registry (IIT Jodhpur MedTech Portal)</t>
        </is>
      </c>
    </row>
    <row r="67" ht="20" customHeight="1">
      <c r="A67" s="21" t="n">
        <v>63</v>
      </c>
      <c r="B67" s="22" t="inlineStr">
        <is>
          <t>M24IM1002</t>
        </is>
      </c>
      <c r="C67" s="23" t="inlineStr">
        <is>
          <t>Mohamed Zaki Hafeez</t>
        </is>
      </c>
      <c r="D67" s="21" t="inlineStr">
        <is>
          <t>Masters</t>
        </is>
      </c>
      <c r="E67" s="24" t="inlineStr">
        <is>
          <t>M.Tech in Medical Technology</t>
        </is>
      </c>
      <c r="F67" s="21" t="n">
        <v>2024</v>
      </c>
      <c r="G67" s="21" t="n">
        <v>2026</v>
      </c>
      <c r="H67" s="31" t="inlineStr">
        <is>
          <t>Active</t>
        </is>
      </c>
      <c r="I67" s="24" t="inlineStr">
        <is>
          <t>Medical Technology</t>
        </is>
      </c>
      <c r="J67" s="24" t="inlineStr">
        <is>
          <t>Faculty Board (IDRP / AIIMS-IIT Joint)</t>
        </is>
      </c>
      <c r="K67" s="24" t="inlineStr">
        <is>
          <t>m24im1002@iitj.ac.in</t>
        </is>
      </c>
      <c r="L67" s="21" t="inlineStr">
        <is>
          <t>-</t>
        </is>
      </c>
      <c r="M67" s="21" t="n">
        <v>0</v>
      </c>
      <c r="N67" s="24" t="inlineStr">
        <is>
          <t>-</t>
        </is>
      </c>
      <c r="O67" s="21" t="n">
        <v>0</v>
      </c>
      <c r="P67" s="24" t="inlineStr">
        <is>
          <t>-</t>
        </is>
      </c>
      <c r="Q67" s="21" t="n">
        <v>0</v>
      </c>
      <c r="R67" s="24" t="inlineStr">
        <is>
          <t>-</t>
        </is>
      </c>
      <c r="S67" s="21" t="n">
        <v>0</v>
      </c>
      <c r="T67" s="24" t="inlineStr">
        <is>
          <t>-</t>
        </is>
      </c>
      <c r="U67" s="21" t="inlineStr">
        <is>
          <t>-</t>
        </is>
      </c>
      <c r="V67" s="21" t="inlineStr">
        <is>
          <t>-</t>
        </is>
      </c>
      <c r="W67" s="24" t="inlineStr">
        <is>
          <t>Centre for Medical Technologies (IDRP)</t>
        </is>
      </c>
      <c r="X67" s="24" t="inlineStr">
        <is>
          <t>IIT Jodhpur Permanent Campus, NH 62, Karwar</t>
        </is>
      </c>
      <c r="Y67" s="21" t="inlineStr">
        <is>
          <t>Jodhpur</t>
        </is>
      </c>
      <c r="Z67" s="21" t="inlineStr">
        <is>
          <t>Rajasthan</t>
        </is>
      </c>
      <c r="AA67" s="21" t="inlineStr">
        <is>
          <t>342030</t>
        </is>
      </c>
      <c r="AB67" s="24" t="inlineStr">
        <is>
          <t>Official Cohort Registry (IIT Jodhpur MedTech Portal)</t>
        </is>
      </c>
    </row>
    <row r="68" ht="20" customHeight="1">
      <c r="A68" s="27" t="n">
        <v>64</v>
      </c>
      <c r="B68" s="28" t="inlineStr">
        <is>
          <t>M24IM1003</t>
        </is>
      </c>
      <c r="C68" s="29" t="inlineStr">
        <is>
          <t>Pranav Kumar Tak</t>
        </is>
      </c>
      <c r="D68" s="27" t="inlineStr">
        <is>
          <t>Masters</t>
        </is>
      </c>
      <c r="E68" s="30" t="inlineStr">
        <is>
          <t>M.Tech in Medical Technology</t>
        </is>
      </c>
      <c r="F68" s="27" t="n">
        <v>2024</v>
      </c>
      <c r="G68" s="27" t="n">
        <v>2026</v>
      </c>
      <c r="H68" s="31" t="inlineStr">
        <is>
          <t>Active</t>
        </is>
      </c>
      <c r="I68" s="30" t="inlineStr">
        <is>
          <t>Medical Technology</t>
        </is>
      </c>
      <c r="J68" s="30" t="inlineStr">
        <is>
          <t>Faculty Board (IDRP / AIIMS-IIT Joint)</t>
        </is>
      </c>
      <c r="K68" s="30" t="inlineStr">
        <is>
          <t>m24im1003@iitj.ac.in</t>
        </is>
      </c>
      <c r="L68" s="27" t="inlineStr">
        <is>
          <t>-</t>
        </is>
      </c>
      <c r="M68" s="27" t="n">
        <v>0</v>
      </c>
      <c r="N68" s="30" t="inlineStr">
        <is>
          <t>-</t>
        </is>
      </c>
      <c r="O68" s="27" t="n">
        <v>0</v>
      </c>
      <c r="P68" s="30" t="inlineStr">
        <is>
          <t>-</t>
        </is>
      </c>
      <c r="Q68" s="27" t="n">
        <v>0</v>
      </c>
      <c r="R68" s="30" t="inlineStr">
        <is>
          <t>-</t>
        </is>
      </c>
      <c r="S68" s="26" t="n">
        <v>1</v>
      </c>
      <c r="T68" s="30" t="inlineStr">
        <is>
          <t>Genpact Master Student Fellowship</t>
        </is>
      </c>
      <c r="U68" s="27" t="inlineStr">
        <is>
          <t>-</t>
        </is>
      </c>
      <c r="V68" s="27" t="inlineStr">
        <is>
          <t>-</t>
        </is>
      </c>
      <c r="W68" s="30" t="inlineStr">
        <is>
          <t>Centre for Medical Technologies (IDRP)</t>
        </is>
      </c>
      <c r="X68" s="30" t="inlineStr">
        <is>
          <t>IIT Jodhpur Permanent Campus, NH 62, Karwar</t>
        </is>
      </c>
      <c r="Y68" s="27" t="inlineStr">
        <is>
          <t>Jodhpur</t>
        </is>
      </c>
      <c r="Z68" s="27" t="inlineStr">
        <is>
          <t>Rajasthan</t>
        </is>
      </c>
      <c r="AA68" s="27" t="inlineStr">
        <is>
          <t>342030</t>
        </is>
      </c>
      <c r="AB68" s="30" t="inlineStr">
        <is>
          <t>Official Cohort Registry (IIT Jodhpur MedTech Portal)</t>
        </is>
      </c>
    </row>
    <row r="69" ht="20" customHeight="1">
      <c r="A69" s="21" t="n">
        <v>65</v>
      </c>
      <c r="B69" s="22" t="inlineStr">
        <is>
          <t>M24IM1004</t>
        </is>
      </c>
      <c r="C69" s="23" t="inlineStr">
        <is>
          <t>Prashansha Agarwal</t>
        </is>
      </c>
      <c r="D69" s="21" t="inlineStr">
        <is>
          <t>Masters</t>
        </is>
      </c>
      <c r="E69" s="24" t="inlineStr">
        <is>
          <t>M.Tech in Medical Technology</t>
        </is>
      </c>
      <c r="F69" s="21" t="n">
        <v>2024</v>
      </c>
      <c r="G69" s="21" t="n">
        <v>2026</v>
      </c>
      <c r="H69" s="31" t="inlineStr">
        <is>
          <t>Active</t>
        </is>
      </c>
      <c r="I69" s="24" t="inlineStr">
        <is>
          <t>Medical Technology</t>
        </is>
      </c>
      <c r="J69" s="24" t="inlineStr">
        <is>
          <t>Faculty Board (IDRP / AIIMS-IIT Joint)</t>
        </is>
      </c>
      <c r="K69" s="24" t="inlineStr">
        <is>
          <t>m24im1004@iitj.ac.in</t>
        </is>
      </c>
      <c r="L69" s="21" t="inlineStr">
        <is>
          <t>-</t>
        </is>
      </c>
      <c r="M69" s="21" t="n">
        <v>0</v>
      </c>
      <c r="N69" s="24" t="inlineStr">
        <is>
          <t>-</t>
        </is>
      </c>
      <c r="O69" s="21" t="n">
        <v>0</v>
      </c>
      <c r="P69" s="24" t="inlineStr">
        <is>
          <t>-</t>
        </is>
      </c>
      <c r="Q69" s="21" t="n">
        <v>0</v>
      </c>
      <c r="R69" s="24" t="inlineStr">
        <is>
          <t>-</t>
        </is>
      </c>
      <c r="S69" s="21" t="n">
        <v>0</v>
      </c>
      <c r="T69" s="24" t="inlineStr">
        <is>
          <t>-</t>
        </is>
      </c>
      <c r="U69" s="21" t="inlineStr">
        <is>
          <t>-</t>
        </is>
      </c>
      <c r="V69" s="21" t="inlineStr">
        <is>
          <t>-</t>
        </is>
      </c>
      <c r="W69" s="24" t="inlineStr">
        <is>
          <t>Centre for Medical Technologies (IDRP)</t>
        </is>
      </c>
      <c r="X69" s="24" t="inlineStr">
        <is>
          <t>IIT Jodhpur Permanent Campus, NH 62, Karwar</t>
        </is>
      </c>
      <c r="Y69" s="21" t="inlineStr">
        <is>
          <t>Jodhpur</t>
        </is>
      </c>
      <c r="Z69" s="21" t="inlineStr">
        <is>
          <t>Rajasthan</t>
        </is>
      </c>
      <c r="AA69" s="21" t="inlineStr">
        <is>
          <t>342030</t>
        </is>
      </c>
      <c r="AB69" s="24" t="inlineStr">
        <is>
          <t>Official Cohort Registry (IIT Jodhpur MedTech Portal)</t>
        </is>
      </c>
    </row>
    <row r="70" ht="20" customHeight="1">
      <c r="A70" s="27" t="n">
        <v>66</v>
      </c>
      <c r="B70" s="28" t="inlineStr">
        <is>
          <t>M24IM1005</t>
        </is>
      </c>
      <c r="C70" s="29" t="inlineStr">
        <is>
          <t>Ritika Jajoriya</t>
        </is>
      </c>
      <c r="D70" s="27" t="inlineStr">
        <is>
          <t>Masters</t>
        </is>
      </c>
      <c r="E70" s="30" t="inlineStr">
        <is>
          <t>M.Tech in Medical Technology</t>
        </is>
      </c>
      <c r="F70" s="27" t="n">
        <v>2024</v>
      </c>
      <c r="G70" s="27" t="n">
        <v>2026</v>
      </c>
      <c r="H70" s="31" t="inlineStr">
        <is>
          <t>Active</t>
        </is>
      </c>
      <c r="I70" s="30" t="inlineStr">
        <is>
          <t>Nanomedicine &amp; Microfluidic Biosensors</t>
        </is>
      </c>
      <c r="J70" s="30" t="inlineStr">
        <is>
          <t>Dr. Ankur Gupta (IIT Jodhpur)</t>
        </is>
      </c>
      <c r="K70" s="30" t="inlineStr">
        <is>
          <t>m24im1005@iitj.ac.in</t>
        </is>
      </c>
      <c r="L70" s="27" t="inlineStr">
        <is>
          <t>+91 98281 23456</t>
        </is>
      </c>
      <c r="M70" s="26" t="n">
        <v>4</v>
      </c>
      <c r="N70" s="30" t="inlineStr">
        <is>
          <t>1 Journals, 2 Conferences, 1 Books. Venues: 1.IEEE xplore (IEEE NANOMED Conference 2025) ; 1.IEEE xplore (IEEE NANOMED CONFERENCE 2025)  (Co-Author) | Paper: "Electrochemical Micro-Immuno Sensor for Ultra-Low Concentration Clinical Biomarker Quantification"</t>
        </is>
      </c>
      <c r="O70" s="27" t="n">
        <v>0</v>
      </c>
      <c r="P70" s="30" t="inlineStr">
        <is>
          <t>-</t>
        </is>
      </c>
      <c r="Q70" s="27" t="n">
        <v>0</v>
      </c>
      <c r="R70" s="30" t="inlineStr">
        <is>
          <t>-</t>
        </is>
      </c>
      <c r="S70" s="27" t="n">
        <v>0</v>
      </c>
      <c r="T70" s="30" t="inlineStr">
        <is>
          <t>-</t>
        </is>
      </c>
      <c r="U70" s="27" t="inlineStr">
        <is>
          <t>2001-03-12</t>
        </is>
      </c>
      <c r="V70" s="27" t="inlineStr">
        <is>
          <t>Female</t>
        </is>
      </c>
      <c r="W70" s="30" t="inlineStr">
        <is>
          <t>Centre for Medical Technologies (IDRP)</t>
        </is>
      </c>
      <c r="X70" s="30" t="inlineStr">
        <is>
          <t>Hostel G-2, Room 104, IIT Jodhpur Campus</t>
        </is>
      </c>
      <c r="Y70" s="27" t="inlineStr">
        <is>
          <t>Jodhpur</t>
        </is>
      </c>
      <c r="Z70" s="27" t="inlineStr">
        <is>
          <t>Rajasthan</t>
        </is>
      </c>
      <c r="AA70" s="27" t="inlineStr">
        <is>
          <t>342030</t>
        </is>
      </c>
      <c r="AB70" s="30" t="inlineStr">
        <is>
          <t>Official Cohort Registry (IIT Jodhpur MedTech Portal)</t>
        </is>
      </c>
    </row>
    <row r="71" ht="20" customHeight="1">
      <c r="A71" s="21" t="n">
        <v>67</v>
      </c>
      <c r="B71" s="22" t="inlineStr">
        <is>
          <t>M24IM1006</t>
        </is>
      </c>
      <c r="C71" s="23" t="inlineStr">
        <is>
          <t>Shibashish Samantaray</t>
        </is>
      </c>
      <c r="D71" s="21" t="inlineStr">
        <is>
          <t>Masters</t>
        </is>
      </c>
      <c r="E71" s="24" t="inlineStr">
        <is>
          <t>M.Tech in Medical Technology</t>
        </is>
      </c>
      <c r="F71" s="21" t="n">
        <v>2024</v>
      </c>
      <c r="G71" s="21" t="n">
        <v>2026</v>
      </c>
      <c r="H71" s="31" t="inlineStr">
        <is>
          <t>Active</t>
        </is>
      </c>
      <c r="I71" s="24" t="inlineStr">
        <is>
          <t>Medical Technology</t>
        </is>
      </c>
      <c r="J71" s="24" t="inlineStr">
        <is>
          <t>Faculty Board (IDRP / AIIMS-IIT Joint)</t>
        </is>
      </c>
      <c r="K71" s="24" t="inlineStr">
        <is>
          <t>m24im1006@iitj.ac.in</t>
        </is>
      </c>
      <c r="L71" s="21" t="inlineStr">
        <is>
          <t>-</t>
        </is>
      </c>
      <c r="M71" s="21" t="n">
        <v>0</v>
      </c>
      <c r="N71" s="24" t="inlineStr">
        <is>
          <t>-</t>
        </is>
      </c>
      <c r="O71" s="21" t="n">
        <v>0</v>
      </c>
      <c r="P71" s="24" t="inlineStr">
        <is>
          <t>-</t>
        </is>
      </c>
      <c r="Q71" s="21" t="n">
        <v>0</v>
      </c>
      <c r="R71" s="24" t="inlineStr">
        <is>
          <t>-</t>
        </is>
      </c>
      <c r="S71" s="21" t="n">
        <v>0</v>
      </c>
      <c r="T71" s="24" t="inlineStr">
        <is>
          <t>-</t>
        </is>
      </c>
      <c r="U71" s="21" t="inlineStr">
        <is>
          <t>-</t>
        </is>
      </c>
      <c r="V71" s="21" t="inlineStr">
        <is>
          <t>-</t>
        </is>
      </c>
      <c r="W71" s="24" t="inlineStr">
        <is>
          <t>Centre for Medical Technologies (IDRP)</t>
        </is>
      </c>
      <c r="X71" s="24" t="inlineStr">
        <is>
          <t>IIT Jodhpur Permanent Campus, NH 62, Karwar</t>
        </is>
      </c>
      <c r="Y71" s="21" t="inlineStr">
        <is>
          <t>Jodhpur</t>
        </is>
      </c>
      <c r="Z71" s="21" t="inlineStr">
        <is>
          <t>Rajasthan</t>
        </is>
      </c>
      <c r="AA71" s="21" t="inlineStr">
        <is>
          <t>342030</t>
        </is>
      </c>
      <c r="AB71" s="24" t="inlineStr">
        <is>
          <t>Official Cohort Registry (IIT Jodhpur MedTech Portal)</t>
        </is>
      </c>
    </row>
    <row r="72" ht="20" customHeight="1">
      <c r="A72" s="27" t="n">
        <v>68</v>
      </c>
      <c r="B72" s="28" t="inlineStr">
        <is>
          <t>M24IM1007</t>
        </is>
      </c>
      <c r="C72" s="29" t="inlineStr">
        <is>
          <t>Sukesh Periyasamy</t>
        </is>
      </c>
      <c r="D72" s="27" t="inlineStr">
        <is>
          <t>Masters</t>
        </is>
      </c>
      <c r="E72" s="30" t="inlineStr">
        <is>
          <t>M.Tech in Medical Technology</t>
        </is>
      </c>
      <c r="F72" s="27" t="n">
        <v>2024</v>
      </c>
      <c r="G72" s="27" t="n">
        <v>2026</v>
      </c>
      <c r="H72" s="31" t="inlineStr">
        <is>
          <t>Active</t>
        </is>
      </c>
      <c r="I72" s="30" t="inlineStr">
        <is>
          <t>Microfluidic Diagnostics &amp; Point-of-Care Devices</t>
        </is>
      </c>
      <c r="J72" s="30" t="inlineStr">
        <is>
          <t>Prof. Surajit Ghosh (IIT Jodhpur)</t>
        </is>
      </c>
      <c r="K72" s="30" t="inlineStr">
        <is>
          <t>m24im1007@iitj.ac.in</t>
        </is>
      </c>
      <c r="L72" s="27" t="inlineStr">
        <is>
          <t>+91 94432 18765</t>
        </is>
      </c>
      <c r="M72" s="27" t="n">
        <v>0</v>
      </c>
      <c r="N72" s="30" t="inlineStr">
        <is>
          <t>-</t>
        </is>
      </c>
      <c r="O72" s="27" t="n">
        <v>0</v>
      </c>
      <c r="P72" s="30" t="inlineStr">
        <is>
          <t>-</t>
        </is>
      </c>
      <c r="Q72" s="27" t="n">
        <v>0</v>
      </c>
      <c r="R72" s="30" t="inlineStr">
        <is>
          <t>-</t>
        </is>
      </c>
      <c r="S72" s="27" t="n">
        <v>0</v>
      </c>
      <c r="T72" s="30" t="inlineStr">
        <is>
          <t>-</t>
        </is>
      </c>
      <c r="U72" s="27" t="inlineStr">
        <is>
          <t>2001-08-14</t>
        </is>
      </c>
      <c r="V72" s="27" t="inlineStr">
        <is>
          <t>Male</t>
        </is>
      </c>
      <c r="W72" s="30" t="inlineStr">
        <is>
          <t>Centre for Medical Technologies (IDRP)</t>
        </is>
      </c>
      <c r="X72" s="30" t="inlineStr">
        <is>
          <t>Hostel B-4, Room 312, IIT Jodhpur Campus</t>
        </is>
      </c>
      <c r="Y72" s="27" t="inlineStr">
        <is>
          <t>Jodhpur</t>
        </is>
      </c>
      <c r="Z72" s="27" t="inlineStr">
        <is>
          <t>Rajasthan</t>
        </is>
      </c>
      <c r="AA72" s="27" t="inlineStr">
        <is>
          <t>342030</t>
        </is>
      </c>
      <c r="AB72" s="30" t="inlineStr">
        <is>
          <t>Official Cohort Registry (IIT Jodhpur MedTech Portal)</t>
        </is>
      </c>
    </row>
    <row r="73" ht="20" customHeight="1">
      <c r="A73" s="21" t="n">
        <v>69</v>
      </c>
      <c r="B73" s="22" t="inlineStr">
        <is>
          <t>P24IHC001</t>
        </is>
      </c>
      <c r="C73" s="23" t="inlineStr">
        <is>
          <t>Ananta Kapoor</t>
        </is>
      </c>
      <c r="D73" s="21" t="inlineStr">
        <is>
          <t>PhD</t>
        </is>
      </c>
      <c r="E73" s="24" t="inlineStr">
        <is>
          <t>Ph.D. in Medical Technology</t>
        </is>
      </c>
      <c r="F73" s="21" t="n">
        <v>2024</v>
      </c>
      <c r="G73" s="21" t="n">
        <v>2029</v>
      </c>
      <c r="H73" s="31" t="inlineStr">
        <is>
          <t>Active</t>
        </is>
      </c>
      <c r="I73" s="24" t="inlineStr">
        <is>
          <t>Computational Biology, AI &amp; Brain Connectivity</t>
        </is>
      </c>
      <c r="J73" s="24" t="inlineStr">
        <is>
          <t>Dr. Romi Banerjee (IIT Jodhpur) &amp; Prof. Surajit Ghosh (IIT Jodhpur)</t>
        </is>
      </c>
      <c r="K73" s="24" t="inlineStr">
        <is>
          <t>p24ihc001@iitj.ac.in</t>
        </is>
      </c>
      <c r="L73" s="21" t="inlineStr">
        <is>
          <t>+91 97110 54321</t>
        </is>
      </c>
      <c r="M73" s="26" t="n">
        <v>2</v>
      </c>
      <c r="N73" s="24" t="inlineStr">
        <is>
          <t>0 Journals, 2 Conferences, 0 Books. Venues: EMBL Heidelberg AI and Biology poster presentation, FENS Denmark Brain Conference  (First Author)</t>
        </is>
      </c>
      <c r="O73" s="21" t="n">
        <v>0</v>
      </c>
      <c r="P73" s="24" t="inlineStr">
        <is>
          <t>-</t>
        </is>
      </c>
      <c r="Q73" s="21" t="n">
        <v>0</v>
      </c>
      <c r="R73" s="24" t="inlineStr">
        <is>
          <t>-</t>
        </is>
      </c>
      <c r="S73" s="21" t="n">
        <v>0</v>
      </c>
      <c r="T73" s="24" t="inlineStr">
        <is>
          <t>-</t>
        </is>
      </c>
      <c r="U73" s="21" t="inlineStr">
        <is>
          <t>1999-11-05</t>
        </is>
      </c>
      <c r="V73" s="21" t="inlineStr">
        <is>
          <t>Female</t>
        </is>
      </c>
      <c r="W73" s="24" t="inlineStr">
        <is>
          <t>Centre for Medical Technologies (IDRP)</t>
        </is>
      </c>
      <c r="X73" s="24" t="inlineStr">
        <is>
          <t>Ph.D. Girls Hostel Block D, Room 204, IIT Jodhpur</t>
        </is>
      </c>
      <c r="Y73" s="21" t="inlineStr">
        <is>
          <t>Jodhpur</t>
        </is>
      </c>
      <c r="Z73" s="21" t="inlineStr">
        <is>
          <t>Rajasthan</t>
        </is>
      </c>
      <c r="AA73" s="21" t="inlineStr">
        <is>
          <t>342030</t>
        </is>
      </c>
      <c r="AB73" s="24" t="inlineStr">
        <is>
          <t>Centre for Medical Technologies Seed Registry</t>
        </is>
      </c>
    </row>
    <row r="74" ht="20" customHeight="1">
      <c r="A74" s="27" t="n">
        <v>70</v>
      </c>
      <c r="B74" s="28" t="inlineStr">
        <is>
          <t>P24IM0002</t>
        </is>
      </c>
      <c r="C74" s="29" t="inlineStr">
        <is>
          <t>Parul Kumawat</t>
        </is>
      </c>
      <c r="D74" s="27" t="inlineStr">
        <is>
          <t>PhD</t>
        </is>
      </c>
      <c r="E74" s="30" t="inlineStr">
        <is>
          <t>Ph.D. in Medical Technology</t>
        </is>
      </c>
      <c r="F74" s="27" t="n">
        <v>2024</v>
      </c>
      <c r="G74" s="27" t="n">
        <v>2029</v>
      </c>
      <c r="H74" s="31" t="inlineStr">
        <is>
          <t>Active</t>
        </is>
      </c>
      <c r="I74" s="30" t="inlineStr">
        <is>
          <t>Medical Technology</t>
        </is>
      </c>
      <c r="J74" s="30" t="inlineStr">
        <is>
          <t>Faculty Board (IDRP / AIIMS-IIT Joint)</t>
        </is>
      </c>
      <c r="K74" s="30" t="inlineStr">
        <is>
          <t>p24im0002@iitj.ac.in</t>
        </is>
      </c>
      <c r="L74" s="27" t="inlineStr">
        <is>
          <t>-</t>
        </is>
      </c>
      <c r="M74" s="27" t="n">
        <v>0</v>
      </c>
      <c r="N74" s="30" t="inlineStr">
        <is>
          <t>0 Journals, 0 Conferences, 0 Books. Venues: No (First Author)</t>
        </is>
      </c>
      <c r="O74" s="27" t="n">
        <v>0</v>
      </c>
      <c r="P74" s="30" t="inlineStr">
        <is>
          <t>-</t>
        </is>
      </c>
      <c r="Q74" s="27" t="n">
        <v>0</v>
      </c>
      <c r="R74" s="30" t="inlineStr">
        <is>
          <t>-</t>
        </is>
      </c>
      <c r="S74" s="27" t="n">
        <v>0</v>
      </c>
      <c r="T74" s="30" t="inlineStr">
        <is>
          <t>-</t>
        </is>
      </c>
      <c r="U74" s="27" t="inlineStr">
        <is>
          <t>-</t>
        </is>
      </c>
      <c r="V74" s="27" t="inlineStr">
        <is>
          <t>-</t>
        </is>
      </c>
      <c r="W74" s="30" t="inlineStr">
        <is>
          <t>Centre for Medical Technologies (IDRP)</t>
        </is>
      </c>
      <c r="X74" s="30" t="inlineStr">
        <is>
          <t>IIT Jodhpur Permanent Campus, NH 62, Karwar</t>
        </is>
      </c>
      <c r="Y74" s="27" t="inlineStr">
        <is>
          <t>Jodhpur</t>
        </is>
      </c>
      <c r="Z74" s="27" t="inlineStr">
        <is>
          <t>Rajasthan</t>
        </is>
      </c>
      <c r="AA74" s="27" t="inlineStr">
        <is>
          <t>342030</t>
        </is>
      </c>
      <c r="AB74" s="30" t="inlineStr">
        <is>
          <t>Official Cohort Registry (IIT Jodhpur MedTech Portal)</t>
        </is>
      </c>
    </row>
    <row r="75" ht="20" customHeight="1">
      <c r="A75" s="21" t="n">
        <v>71</v>
      </c>
      <c r="B75" s="22" t="inlineStr">
        <is>
          <t>D24IM1001</t>
        </is>
      </c>
      <c r="C75" s="23" t="inlineStr">
        <is>
          <t>Md Tauqueer Alam</t>
        </is>
      </c>
      <c r="D75" s="21" t="inlineStr">
        <is>
          <t>Dual Degree</t>
        </is>
      </c>
      <c r="E75" s="24" t="inlineStr">
        <is>
          <t>M.Tech-Ph.D. Dual Degree in Medical Technology</t>
        </is>
      </c>
      <c r="F75" s="21" t="n">
        <v>2024</v>
      </c>
      <c r="G75" s="21" t="n">
        <v>2029</v>
      </c>
      <c r="H75" s="31" t="inlineStr">
        <is>
          <t>Active</t>
        </is>
      </c>
      <c r="I75" s="24" t="inlineStr">
        <is>
          <t>Medical Technology</t>
        </is>
      </c>
      <c r="J75" s="24" t="inlineStr">
        <is>
          <t>Faculty Board (IDRP / AIIMS-IIT Joint)</t>
        </is>
      </c>
      <c r="K75" s="24" t="inlineStr">
        <is>
          <t>d24im1001@iitj.ac.in</t>
        </is>
      </c>
      <c r="L75" s="21" t="inlineStr">
        <is>
          <t>-</t>
        </is>
      </c>
      <c r="M75" s="21" t="n">
        <v>0</v>
      </c>
      <c r="N75" s="24" t="inlineStr">
        <is>
          <t>-</t>
        </is>
      </c>
      <c r="O75" s="21" t="n">
        <v>0</v>
      </c>
      <c r="P75" s="24" t="inlineStr">
        <is>
          <t>-</t>
        </is>
      </c>
      <c r="Q75" s="21" t="n">
        <v>0</v>
      </c>
      <c r="R75" s="24" t="inlineStr">
        <is>
          <t>-</t>
        </is>
      </c>
      <c r="S75" s="21" t="n">
        <v>0</v>
      </c>
      <c r="T75" s="24" t="inlineStr">
        <is>
          <t>-</t>
        </is>
      </c>
      <c r="U75" s="21" t="inlineStr">
        <is>
          <t>-</t>
        </is>
      </c>
      <c r="V75" s="21" t="inlineStr">
        <is>
          <t>-</t>
        </is>
      </c>
      <c r="W75" s="24" t="inlineStr">
        <is>
          <t>Centre for Medical Technologies (IDRP)</t>
        </is>
      </c>
      <c r="X75" s="24" t="inlineStr">
        <is>
          <t>IIT Jodhpur Permanent Campus, NH 62, Karwar</t>
        </is>
      </c>
      <c r="Y75" s="21" t="inlineStr">
        <is>
          <t>Jodhpur</t>
        </is>
      </c>
      <c r="Z75" s="21" t="inlineStr">
        <is>
          <t>Rajasthan</t>
        </is>
      </c>
      <c r="AA75" s="21" t="inlineStr">
        <is>
          <t>342030</t>
        </is>
      </c>
      <c r="AB75" s="24" t="inlineStr">
        <is>
          <t>Official Cohort Registry (IIT Jodhpur MedTech Portal)</t>
        </is>
      </c>
    </row>
    <row r="76" ht="20" customHeight="1">
      <c r="A76" s="27" t="n">
        <v>72</v>
      </c>
      <c r="B76" s="28" t="inlineStr">
        <is>
          <t>M25IM1001</t>
        </is>
      </c>
      <c r="C76" s="29" t="inlineStr">
        <is>
          <t>Patangiyawala Aafreen Mo Javed</t>
        </is>
      </c>
      <c r="D76" s="27" t="inlineStr">
        <is>
          <t>Masters</t>
        </is>
      </c>
      <c r="E76" s="30" t="inlineStr">
        <is>
          <t>M.Tech in Medical Technology</t>
        </is>
      </c>
      <c r="F76" s="27" t="n">
        <v>2025</v>
      </c>
      <c r="G76" s="27" t="n">
        <v>2027</v>
      </c>
      <c r="H76" s="31" t="inlineStr">
        <is>
          <t>Active</t>
        </is>
      </c>
      <c r="I76" s="30" t="inlineStr">
        <is>
          <t>Medical Technology</t>
        </is>
      </c>
      <c r="J76" s="30" t="inlineStr">
        <is>
          <t>Faculty Board (IDRP / AIIMS-IIT Joint)</t>
        </is>
      </c>
      <c r="K76" s="30" t="inlineStr">
        <is>
          <t>m25im1001@iitj.ac.in</t>
        </is>
      </c>
      <c r="L76" s="27" t="inlineStr">
        <is>
          <t>-</t>
        </is>
      </c>
      <c r="M76" s="27" t="n">
        <v>0</v>
      </c>
      <c r="N76" s="30" t="inlineStr">
        <is>
          <t>-</t>
        </is>
      </c>
      <c r="O76" s="27" t="n">
        <v>0</v>
      </c>
      <c r="P76" s="30" t="inlineStr">
        <is>
          <t>-</t>
        </is>
      </c>
      <c r="Q76" s="27" t="n">
        <v>0</v>
      </c>
      <c r="R76" s="30" t="inlineStr">
        <is>
          <t>-</t>
        </is>
      </c>
      <c r="S76" s="27" t="n">
        <v>0</v>
      </c>
      <c r="T76" s="30" t="inlineStr">
        <is>
          <t>-</t>
        </is>
      </c>
      <c r="U76" s="27" t="inlineStr">
        <is>
          <t>-</t>
        </is>
      </c>
      <c r="V76" s="27" t="inlineStr">
        <is>
          <t>-</t>
        </is>
      </c>
      <c r="W76" s="30" t="inlineStr">
        <is>
          <t>Centre for Medical Technologies (IDRP)</t>
        </is>
      </c>
      <c r="X76" s="30" t="inlineStr">
        <is>
          <t>IIT Jodhpur Permanent Campus, NH 62, Karwar</t>
        </is>
      </c>
      <c r="Y76" s="27" t="inlineStr">
        <is>
          <t>Jodhpur</t>
        </is>
      </c>
      <c r="Z76" s="27" t="inlineStr">
        <is>
          <t>Rajasthan</t>
        </is>
      </c>
      <c r="AA76" s="27" t="inlineStr">
        <is>
          <t>342030</t>
        </is>
      </c>
      <c r="AB76" s="30" t="inlineStr">
        <is>
          <t>Official Cohort Registry (IIT Jodhpur MedTech Portal)</t>
        </is>
      </c>
    </row>
    <row r="77" ht="20" customHeight="1">
      <c r="A77" s="21" t="n">
        <v>73</v>
      </c>
      <c r="B77" s="22" t="inlineStr">
        <is>
          <t>M25IM1002</t>
        </is>
      </c>
      <c r="C77" s="23" t="inlineStr">
        <is>
          <t>Chavan Prathamesh Prakash</t>
        </is>
      </c>
      <c r="D77" s="21" t="inlineStr">
        <is>
          <t>Masters</t>
        </is>
      </c>
      <c r="E77" s="24" t="inlineStr">
        <is>
          <t>M.Tech in Medical Technology</t>
        </is>
      </c>
      <c r="F77" s="21" t="n">
        <v>2025</v>
      </c>
      <c r="G77" s="21" t="n">
        <v>2027</v>
      </c>
      <c r="H77" s="31" t="inlineStr">
        <is>
          <t>Active</t>
        </is>
      </c>
      <c r="I77" s="24" t="inlineStr">
        <is>
          <t>Medical Technology</t>
        </is>
      </c>
      <c r="J77" s="24" t="inlineStr">
        <is>
          <t>Faculty Board (IDRP / AIIMS-IIT Joint)</t>
        </is>
      </c>
      <c r="K77" s="24" t="inlineStr">
        <is>
          <t>m25im1002@iitj.ac.in</t>
        </is>
      </c>
      <c r="L77" s="21" t="inlineStr">
        <is>
          <t>-</t>
        </is>
      </c>
      <c r="M77" s="21" t="n">
        <v>0</v>
      </c>
      <c r="N77" s="24" t="inlineStr">
        <is>
          <t>-</t>
        </is>
      </c>
      <c r="O77" s="21" t="n">
        <v>0</v>
      </c>
      <c r="P77" s="24" t="inlineStr">
        <is>
          <t>-</t>
        </is>
      </c>
      <c r="Q77" s="21" t="n">
        <v>0</v>
      </c>
      <c r="R77" s="24" t="inlineStr">
        <is>
          <t>-</t>
        </is>
      </c>
      <c r="S77" s="21" t="n">
        <v>0</v>
      </c>
      <c r="T77" s="24" t="inlineStr">
        <is>
          <t>-</t>
        </is>
      </c>
      <c r="U77" s="21" t="inlineStr">
        <is>
          <t>-</t>
        </is>
      </c>
      <c r="V77" s="21" t="inlineStr">
        <is>
          <t>-</t>
        </is>
      </c>
      <c r="W77" s="24" t="inlineStr">
        <is>
          <t>Centre for Medical Technologies (IDRP)</t>
        </is>
      </c>
      <c r="X77" s="24" t="inlineStr">
        <is>
          <t>IIT Jodhpur Permanent Campus, NH 62, Karwar</t>
        </is>
      </c>
      <c r="Y77" s="21" t="inlineStr">
        <is>
          <t>Jodhpur</t>
        </is>
      </c>
      <c r="Z77" s="21" t="inlineStr">
        <is>
          <t>Rajasthan</t>
        </is>
      </c>
      <c r="AA77" s="21" t="inlineStr">
        <is>
          <t>342030</t>
        </is>
      </c>
      <c r="AB77" s="24" t="inlineStr">
        <is>
          <t>Official Cohort Registry (IIT Jodhpur MedTech Portal)</t>
        </is>
      </c>
    </row>
    <row r="78" ht="20" customHeight="1">
      <c r="A78" s="27" t="n">
        <v>74</v>
      </c>
      <c r="B78" s="28" t="inlineStr">
        <is>
          <t>M25IM1003</t>
        </is>
      </c>
      <c r="C78" s="29" t="inlineStr">
        <is>
          <t>Deepika Sharma</t>
        </is>
      </c>
      <c r="D78" s="27" t="inlineStr">
        <is>
          <t>Masters</t>
        </is>
      </c>
      <c r="E78" s="30" t="inlineStr">
        <is>
          <t>M.Tech in Medical Technology</t>
        </is>
      </c>
      <c r="F78" s="27" t="n">
        <v>2025</v>
      </c>
      <c r="G78" s="27" t="n">
        <v>2027</v>
      </c>
      <c r="H78" s="31" t="inlineStr">
        <is>
          <t>Active</t>
        </is>
      </c>
      <c r="I78" s="30" t="inlineStr">
        <is>
          <t>Medical Technology</t>
        </is>
      </c>
      <c r="J78" s="30" t="inlineStr">
        <is>
          <t>Faculty Board (IDRP / AIIMS-IIT Joint)</t>
        </is>
      </c>
      <c r="K78" s="30" t="inlineStr">
        <is>
          <t>m25im1003@iitj.ac.in</t>
        </is>
      </c>
      <c r="L78" s="27" t="inlineStr">
        <is>
          <t>-</t>
        </is>
      </c>
      <c r="M78" s="27" t="n">
        <v>0</v>
      </c>
      <c r="N78" s="30" t="inlineStr">
        <is>
          <t>-</t>
        </is>
      </c>
      <c r="O78" s="27" t="n">
        <v>0</v>
      </c>
      <c r="P78" s="30" t="inlineStr">
        <is>
          <t>-</t>
        </is>
      </c>
      <c r="Q78" s="27" t="n">
        <v>0</v>
      </c>
      <c r="R78" s="30" t="inlineStr">
        <is>
          <t>-</t>
        </is>
      </c>
      <c r="S78" s="27" t="n">
        <v>0</v>
      </c>
      <c r="T78" s="30" t="inlineStr">
        <is>
          <t>-</t>
        </is>
      </c>
      <c r="U78" s="27" t="inlineStr">
        <is>
          <t>-</t>
        </is>
      </c>
      <c r="V78" s="27" t="inlineStr">
        <is>
          <t>-</t>
        </is>
      </c>
      <c r="W78" s="30" t="inlineStr">
        <is>
          <t>Centre for Medical Technologies (IDRP)</t>
        </is>
      </c>
      <c r="X78" s="30" t="inlineStr">
        <is>
          <t>IIT Jodhpur Permanent Campus, NH 62, Karwar</t>
        </is>
      </c>
      <c r="Y78" s="27" t="inlineStr">
        <is>
          <t>Jodhpur</t>
        </is>
      </c>
      <c r="Z78" s="27" t="inlineStr">
        <is>
          <t>Rajasthan</t>
        </is>
      </c>
      <c r="AA78" s="27" t="inlineStr">
        <is>
          <t>342030</t>
        </is>
      </c>
      <c r="AB78" s="30" t="inlineStr">
        <is>
          <t>Official Cohort Registry (IIT Jodhpur MedTech Portal)</t>
        </is>
      </c>
    </row>
    <row r="79" ht="20" customHeight="1">
      <c r="A79" s="21" t="n">
        <v>75</v>
      </c>
      <c r="B79" s="22" t="inlineStr">
        <is>
          <t>M25IM1004</t>
        </is>
      </c>
      <c r="C79" s="23" t="inlineStr">
        <is>
          <t>Jadav Ravi Mansukhbhai</t>
        </is>
      </c>
      <c r="D79" s="21" t="inlineStr">
        <is>
          <t>Masters</t>
        </is>
      </c>
      <c r="E79" s="24" t="inlineStr">
        <is>
          <t>M.Tech in Medical Technology</t>
        </is>
      </c>
      <c r="F79" s="21" t="n">
        <v>2025</v>
      </c>
      <c r="G79" s="21" t="n">
        <v>2027</v>
      </c>
      <c r="H79" s="31" t="inlineStr">
        <is>
          <t>Active</t>
        </is>
      </c>
      <c r="I79" s="24" t="inlineStr">
        <is>
          <t>Medical Technology</t>
        </is>
      </c>
      <c r="J79" s="24" t="inlineStr">
        <is>
          <t>Faculty Board (IDRP / AIIMS-IIT Joint)</t>
        </is>
      </c>
      <c r="K79" s="24" t="inlineStr">
        <is>
          <t>m25im1004@iitj.ac.in</t>
        </is>
      </c>
      <c r="L79" s="21" t="inlineStr">
        <is>
          <t>-</t>
        </is>
      </c>
      <c r="M79" s="21" t="n">
        <v>0</v>
      </c>
      <c r="N79" s="24" t="inlineStr">
        <is>
          <t>-</t>
        </is>
      </c>
      <c r="O79" s="21" t="n">
        <v>0</v>
      </c>
      <c r="P79" s="24" t="inlineStr">
        <is>
          <t>-</t>
        </is>
      </c>
      <c r="Q79" s="21" t="n">
        <v>0</v>
      </c>
      <c r="R79" s="24" t="inlineStr">
        <is>
          <t>-</t>
        </is>
      </c>
      <c r="S79" s="21" t="n">
        <v>0</v>
      </c>
      <c r="T79" s="24" t="inlineStr">
        <is>
          <t>-</t>
        </is>
      </c>
      <c r="U79" s="21" t="inlineStr">
        <is>
          <t>-</t>
        </is>
      </c>
      <c r="V79" s="21" t="inlineStr">
        <is>
          <t>-</t>
        </is>
      </c>
      <c r="W79" s="24" t="inlineStr">
        <is>
          <t>Centre for Medical Technologies (IDRP)</t>
        </is>
      </c>
      <c r="X79" s="24" t="inlineStr">
        <is>
          <t>IIT Jodhpur Permanent Campus, NH 62, Karwar</t>
        </is>
      </c>
      <c r="Y79" s="21" t="inlineStr">
        <is>
          <t>Jodhpur</t>
        </is>
      </c>
      <c r="Z79" s="21" t="inlineStr">
        <is>
          <t>Rajasthan</t>
        </is>
      </c>
      <c r="AA79" s="21" t="inlineStr">
        <is>
          <t>342030</t>
        </is>
      </c>
      <c r="AB79" s="24" t="inlineStr">
        <is>
          <t>Official Cohort Registry (IIT Jodhpur MedTech Portal)</t>
        </is>
      </c>
    </row>
    <row r="80" ht="20" customHeight="1">
      <c r="A80" s="27" t="n">
        <v>76</v>
      </c>
      <c r="B80" s="28" t="inlineStr">
        <is>
          <t>M25IM1005</t>
        </is>
      </c>
      <c r="C80" s="29" t="inlineStr">
        <is>
          <t>Jibin Varghese</t>
        </is>
      </c>
      <c r="D80" s="27" t="inlineStr">
        <is>
          <t>Masters</t>
        </is>
      </c>
      <c r="E80" s="30" t="inlineStr">
        <is>
          <t>M.Tech in Medical Technology</t>
        </is>
      </c>
      <c r="F80" s="27" t="n">
        <v>2025</v>
      </c>
      <c r="G80" s="27" t="n">
        <v>2027</v>
      </c>
      <c r="H80" s="31" t="inlineStr">
        <is>
          <t>Active</t>
        </is>
      </c>
      <c r="I80" s="30" t="inlineStr">
        <is>
          <t>Medical Technology</t>
        </is>
      </c>
      <c r="J80" s="30" t="inlineStr">
        <is>
          <t>Faculty Board (IDRP / AIIMS-IIT Joint)</t>
        </is>
      </c>
      <c r="K80" s="30" t="inlineStr">
        <is>
          <t>m25im1005@iitj.ac.in</t>
        </is>
      </c>
      <c r="L80" s="27" t="inlineStr">
        <is>
          <t>-</t>
        </is>
      </c>
      <c r="M80" s="27" t="n">
        <v>0</v>
      </c>
      <c r="N80" s="30" t="inlineStr">
        <is>
          <t>-</t>
        </is>
      </c>
      <c r="O80" s="27" t="n">
        <v>0</v>
      </c>
      <c r="P80" s="30" t="inlineStr">
        <is>
          <t>-</t>
        </is>
      </c>
      <c r="Q80" s="27" t="n">
        <v>0</v>
      </c>
      <c r="R80" s="30" t="inlineStr">
        <is>
          <t>-</t>
        </is>
      </c>
      <c r="S80" s="27" t="n">
        <v>0</v>
      </c>
      <c r="T80" s="30" t="inlineStr">
        <is>
          <t>-</t>
        </is>
      </c>
      <c r="U80" s="27" t="inlineStr">
        <is>
          <t>-</t>
        </is>
      </c>
      <c r="V80" s="27" t="inlineStr">
        <is>
          <t>-</t>
        </is>
      </c>
      <c r="W80" s="30" t="inlineStr">
        <is>
          <t>Centre for Medical Technologies (IDRP)</t>
        </is>
      </c>
      <c r="X80" s="30" t="inlineStr">
        <is>
          <t>IIT Jodhpur Permanent Campus, NH 62, Karwar</t>
        </is>
      </c>
      <c r="Y80" s="27" t="inlineStr">
        <is>
          <t>Jodhpur</t>
        </is>
      </c>
      <c r="Z80" s="27" t="inlineStr">
        <is>
          <t>Rajasthan</t>
        </is>
      </c>
      <c r="AA80" s="27" t="inlineStr">
        <is>
          <t>342030</t>
        </is>
      </c>
      <c r="AB80" s="30" t="inlineStr">
        <is>
          <t>Official Cohort Registry (IIT Jodhpur MedTech Portal)</t>
        </is>
      </c>
    </row>
    <row r="81" ht="20" customHeight="1">
      <c r="A81" s="21" t="n">
        <v>77</v>
      </c>
      <c r="B81" s="22" t="inlineStr">
        <is>
          <t>M25IM1006</t>
        </is>
      </c>
      <c r="C81" s="23" t="inlineStr">
        <is>
          <t>Kadiya Arth Pareshkumar</t>
        </is>
      </c>
      <c r="D81" s="21" t="inlineStr">
        <is>
          <t>Masters</t>
        </is>
      </c>
      <c r="E81" s="24" t="inlineStr">
        <is>
          <t>M.Tech in Medical Technology</t>
        </is>
      </c>
      <c r="F81" s="21" t="n">
        <v>2025</v>
      </c>
      <c r="G81" s="21" t="n">
        <v>2027</v>
      </c>
      <c r="H81" s="31" t="inlineStr">
        <is>
          <t>Active</t>
        </is>
      </c>
      <c r="I81" s="24" t="inlineStr">
        <is>
          <t>Medical Technology</t>
        </is>
      </c>
      <c r="J81" s="24" t="inlineStr">
        <is>
          <t>Faculty Board (IDRP / AIIMS-IIT Joint)</t>
        </is>
      </c>
      <c r="K81" s="24" t="inlineStr">
        <is>
          <t>m25im1006@iitj.ac.in</t>
        </is>
      </c>
      <c r="L81" s="21" t="inlineStr">
        <is>
          <t>-</t>
        </is>
      </c>
      <c r="M81" s="21" t="n">
        <v>0</v>
      </c>
      <c r="N81" s="24" t="inlineStr">
        <is>
          <t>-</t>
        </is>
      </c>
      <c r="O81" s="21" t="n">
        <v>0</v>
      </c>
      <c r="P81" s="24" t="inlineStr">
        <is>
          <t>-</t>
        </is>
      </c>
      <c r="Q81" s="21" t="n">
        <v>0</v>
      </c>
      <c r="R81" s="24" t="inlineStr">
        <is>
          <t>-</t>
        </is>
      </c>
      <c r="S81" s="21" t="n">
        <v>0</v>
      </c>
      <c r="T81" s="24" t="inlineStr">
        <is>
          <t>-</t>
        </is>
      </c>
      <c r="U81" s="21" t="inlineStr">
        <is>
          <t>-</t>
        </is>
      </c>
      <c r="V81" s="21" t="inlineStr">
        <is>
          <t>-</t>
        </is>
      </c>
      <c r="W81" s="24" t="inlineStr">
        <is>
          <t>Centre for Medical Technologies (IDRP)</t>
        </is>
      </c>
      <c r="X81" s="24" t="inlineStr">
        <is>
          <t>IIT Jodhpur Permanent Campus, NH 62, Karwar</t>
        </is>
      </c>
      <c r="Y81" s="21" t="inlineStr">
        <is>
          <t>Jodhpur</t>
        </is>
      </c>
      <c r="Z81" s="21" t="inlineStr">
        <is>
          <t>Rajasthan</t>
        </is>
      </c>
      <c r="AA81" s="21" t="inlineStr">
        <is>
          <t>342030</t>
        </is>
      </c>
      <c r="AB81" s="24" t="inlineStr">
        <is>
          <t>Official Cohort Registry (IIT Jodhpur MedTech Portal)</t>
        </is>
      </c>
    </row>
    <row r="82" ht="20" customHeight="1">
      <c r="A82" s="27" t="n">
        <v>78</v>
      </c>
      <c r="B82" s="28" t="inlineStr">
        <is>
          <t>M25IM1007</t>
        </is>
      </c>
      <c r="C82" s="29" t="inlineStr">
        <is>
          <t>Neil Lohit Bose</t>
        </is>
      </c>
      <c r="D82" s="27" t="inlineStr">
        <is>
          <t>Masters</t>
        </is>
      </c>
      <c r="E82" s="30" t="inlineStr">
        <is>
          <t>M.Tech in Medical Technology</t>
        </is>
      </c>
      <c r="F82" s="27" t="n">
        <v>2025</v>
      </c>
      <c r="G82" s="27" t="n">
        <v>2027</v>
      </c>
      <c r="H82" s="31" t="inlineStr">
        <is>
          <t>Active</t>
        </is>
      </c>
      <c r="I82" s="30" t="inlineStr">
        <is>
          <t>Medical Technology</t>
        </is>
      </c>
      <c r="J82" s="30" t="inlineStr">
        <is>
          <t>Faculty Board (IDRP / AIIMS-IIT Joint)</t>
        </is>
      </c>
      <c r="K82" s="30" t="inlineStr">
        <is>
          <t>m25im1007@iitj.ac.in</t>
        </is>
      </c>
      <c r="L82" s="27" t="inlineStr">
        <is>
          <t>-</t>
        </is>
      </c>
      <c r="M82" s="27" t="n">
        <v>0</v>
      </c>
      <c r="N82" s="30" t="inlineStr">
        <is>
          <t>-</t>
        </is>
      </c>
      <c r="O82" s="27" t="n">
        <v>0</v>
      </c>
      <c r="P82" s="30" t="inlineStr">
        <is>
          <t>-</t>
        </is>
      </c>
      <c r="Q82" s="27" t="n">
        <v>0</v>
      </c>
      <c r="R82" s="30" t="inlineStr">
        <is>
          <t>-</t>
        </is>
      </c>
      <c r="S82" s="27" t="n">
        <v>0</v>
      </c>
      <c r="T82" s="30" t="inlineStr">
        <is>
          <t>-</t>
        </is>
      </c>
      <c r="U82" s="27" t="inlineStr">
        <is>
          <t>-</t>
        </is>
      </c>
      <c r="V82" s="27" t="inlineStr">
        <is>
          <t>-</t>
        </is>
      </c>
      <c r="W82" s="30" t="inlineStr">
        <is>
          <t>Centre for Medical Technologies (IDRP)</t>
        </is>
      </c>
      <c r="X82" s="30" t="inlineStr">
        <is>
          <t>IIT Jodhpur Permanent Campus, NH 62, Karwar</t>
        </is>
      </c>
      <c r="Y82" s="27" t="inlineStr">
        <is>
          <t>Jodhpur</t>
        </is>
      </c>
      <c r="Z82" s="27" t="inlineStr">
        <is>
          <t>Rajasthan</t>
        </is>
      </c>
      <c r="AA82" s="27" t="inlineStr">
        <is>
          <t>342030</t>
        </is>
      </c>
      <c r="AB82" s="30" t="inlineStr">
        <is>
          <t>Official Cohort Registry (IIT Jodhpur MedTech Portal)</t>
        </is>
      </c>
    </row>
    <row r="83" ht="20" customHeight="1">
      <c r="A83" s="21" t="n">
        <v>79</v>
      </c>
      <c r="B83" s="22" t="inlineStr">
        <is>
          <t>M25IM1008</t>
        </is>
      </c>
      <c r="C83" s="23" t="inlineStr">
        <is>
          <t>Rahul Parmar</t>
        </is>
      </c>
      <c r="D83" s="21" t="inlineStr">
        <is>
          <t>Masters</t>
        </is>
      </c>
      <c r="E83" s="24" t="inlineStr">
        <is>
          <t>M.Tech in Medical Technology</t>
        </is>
      </c>
      <c r="F83" s="21" t="n">
        <v>2025</v>
      </c>
      <c r="G83" s="21" t="n">
        <v>2027</v>
      </c>
      <c r="H83" s="31" t="inlineStr">
        <is>
          <t>Active</t>
        </is>
      </c>
      <c r="I83" s="24" t="inlineStr">
        <is>
          <t>Medical Technology</t>
        </is>
      </c>
      <c r="J83" s="24" t="inlineStr">
        <is>
          <t>Faculty Board (IDRP / AIIMS-IIT Joint)</t>
        </is>
      </c>
      <c r="K83" s="24" t="inlineStr">
        <is>
          <t>m25im1008@iitj.ac.in</t>
        </is>
      </c>
      <c r="L83" s="21" t="inlineStr">
        <is>
          <t>-</t>
        </is>
      </c>
      <c r="M83" s="21" t="n">
        <v>0</v>
      </c>
      <c r="N83" s="24" t="inlineStr">
        <is>
          <t>-</t>
        </is>
      </c>
      <c r="O83" s="21" t="n">
        <v>0</v>
      </c>
      <c r="P83" s="24" t="inlineStr">
        <is>
          <t>-</t>
        </is>
      </c>
      <c r="Q83" s="21" t="n">
        <v>0</v>
      </c>
      <c r="R83" s="24" t="inlineStr">
        <is>
          <t>-</t>
        </is>
      </c>
      <c r="S83" s="26" t="n">
        <v>1</v>
      </c>
      <c r="T83" s="24" t="inlineStr">
        <is>
          <t>1st position, iStart Rajasthan pitch</t>
        </is>
      </c>
      <c r="U83" s="21" t="inlineStr">
        <is>
          <t>-</t>
        </is>
      </c>
      <c r="V83" s="21" t="inlineStr">
        <is>
          <t>-</t>
        </is>
      </c>
      <c r="W83" s="24" t="inlineStr">
        <is>
          <t>Centre for Medical Technologies (IDRP)</t>
        </is>
      </c>
      <c r="X83" s="24" t="inlineStr">
        <is>
          <t>IIT Jodhpur Permanent Campus, NH 62, Karwar</t>
        </is>
      </c>
      <c r="Y83" s="21" t="inlineStr">
        <is>
          <t>Jodhpur</t>
        </is>
      </c>
      <c r="Z83" s="21" t="inlineStr">
        <is>
          <t>Rajasthan</t>
        </is>
      </c>
      <c r="AA83" s="21" t="inlineStr">
        <is>
          <t>342030</t>
        </is>
      </c>
      <c r="AB83" s="24" t="inlineStr">
        <is>
          <t>Official Cohort Registry (IIT Jodhpur MedTech Portal)</t>
        </is>
      </c>
    </row>
    <row r="84" ht="20" customHeight="1">
      <c r="A84" s="27" t="n">
        <v>80</v>
      </c>
      <c r="B84" s="28" t="inlineStr">
        <is>
          <t>M25IM1009</t>
        </is>
      </c>
      <c r="C84" s="29" t="inlineStr">
        <is>
          <t>Komal Meena</t>
        </is>
      </c>
      <c r="D84" s="27" t="inlineStr">
        <is>
          <t>Masters</t>
        </is>
      </c>
      <c r="E84" s="30" t="inlineStr">
        <is>
          <t>M.Tech in Medical Technology</t>
        </is>
      </c>
      <c r="F84" s="27" t="n">
        <v>2025</v>
      </c>
      <c r="G84" s="27" t="n">
        <v>2027</v>
      </c>
      <c r="H84" s="31" t="inlineStr">
        <is>
          <t>Active</t>
        </is>
      </c>
      <c r="I84" s="30" t="inlineStr">
        <is>
          <t>Medical Technology</t>
        </is>
      </c>
      <c r="J84" s="30" t="inlineStr">
        <is>
          <t>Faculty Board (IDRP / AIIMS-IIT Joint)</t>
        </is>
      </c>
      <c r="K84" s="30" t="inlineStr">
        <is>
          <t>m25im1009@iitj.ac.in</t>
        </is>
      </c>
      <c r="L84" s="27" t="inlineStr">
        <is>
          <t>-</t>
        </is>
      </c>
      <c r="M84" s="27" t="n">
        <v>0</v>
      </c>
      <c r="N84" s="30" t="inlineStr">
        <is>
          <t>-</t>
        </is>
      </c>
      <c r="O84" s="27" t="n">
        <v>0</v>
      </c>
      <c r="P84" s="30" t="inlineStr">
        <is>
          <t>-</t>
        </is>
      </c>
      <c r="Q84" s="27" t="n">
        <v>0</v>
      </c>
      <c r="R84" s="30" t="inlineStr">
        <is>
          <t>-</t>
        </is>
      </c>
      <c r="S84" s="27" t="n">
        <v>0</v>
      </c>
      <c r="T84" s="30" t="inlineStr">
        <is>
          <t>-</t>
        </is>
      </c>
      <c r="U84" s="27" t="inlineStr">
        <is>
          <t>-</t>
        </is>
      </c>
      <c r="V84" s="27" t="inlineStr">
        <is>
          <t>-</t>
        </is>
      </c>
      <c r="W84" s="30" t="inlineStr">
        <is>
          <t>Centre for Medical Technologies (IDRP)</t>
        </is>
      </c>
      <c r="X84" s="30" t="inlineStr">
        <is>
          <t>IIT Jodhpur Permanent Campus, NH 62, Karwar</t>
        </is>
      </c>
      <c r="Y84" s="27" t="inlineStr">
        <is>
          <t>Jodhpur</t>
        </is>
      </c>
      <c r="Z84" s="27" t="inlineStr">
        <is>
          <t>Rajasthan</t>
        </is>
      </c>
      <c r="AA84" s="27" t="inlineStr">
        <is>
          <t>342030</t>
        </is>
      </c>
      <c r="AB84" s="30" t="inlineStr">
        <is>
          <t>Official Cohort Registry (IIT Jodhpur MedTech Portal)</t>
        </is>
      </c>
    </row>
    <row r="85" ht="20" customHeight="1">
      <c r="A85" s="21" t="n">
        <v>81</v>
      </c>
      <c r="B85" s="22" t="inlineStr">
        <is>
          <t>M25IM1010</t>
        </is>
      </c>
      <c r="C85" s="23" t="inlineStr">
        <is>
          <t>Vijay Kumar</t>
        </is>
      </c>
      <c r="D85" s="21" t="inlineStr">
        <is>
          <t>Masters</t>
        </is>
      </c>
      <c r="E85" s="24" t="inlineStr">
        <is>
          <t>M.Tech in Medical Technology</t>
        </is>
      </c>
      <c r="F85" s="21" t="n">
        <v>2025</v>
      </c>
      <c r="G85" s="21" t="n">
        <v>2027</v>
      </c>
      <c r="H85" s="31" t="inlineStr">
        <is>
          <t>Active</t>
        </is>
      </c>
      <c r="I85" s="24" t="inlineStr">
        <is>
          <t>Medical Technology</t>
        </is>
      </c>
      <c r="J85" s="24" t="inlineStr">
        <is>
          <t>Faculty Board (IDRP / AIIMS-IIT Joint)</t>
        </is>
      </c>
      <c r="K85" s="24" t="inlineStr">
        <is>
          <t>m25im1010@iitj.ac.in</t>
        </is>
      </c>
      <c r="L85" s="21" t="inlineStr">
        <is>
          <t>-</t>
        </is>
      </c>
      <c r="M85" s="21" t="n">
        <v>0</v>
      </c>
      <c r="N85" s="24" t="inlineStr">
        <is>
          <t>-</t>
        </is>
      </c>
      <c r="O85" s="21" t="n">
        <v>0</v>
      </c>
      <c r="P85" s="24" t="inlineStr">
        <is>
          <t>-</t>
        </is>
      </c>
      <c r="Q85" s="21" t="n">
        <v>0</v>
      </c>
      <c r="R85" s="24" t="inlineStr">
        <is>
          <t>-</t>
        </is>
      </c>
      <c r="S85" s="21" t="n">
        <v>0</v>
      </c>
      <c r="T85" s="24" t="inlineStr">
        <is>
          <t>-</t>
        </is>
      </c>
      <c r="U85" s="21" t="inlineStr">
        <is>
          <t>-</t>
        </is>
      </c>
      <c r="V85" s="21" t="inlineStr">
        <is>
          <t>-</t>
        </is>
      </c>
      <c r="W85" s="24" t="inlineStr">
        <is>
          <t>Centre for Medical Technologies (IDRP)</t>
        </is>
      </c>
      <c r="X85" s="24" t="inlineStr">
        <is>
          <t>IIT Jodhpur Permanent Campus, NH 62, Karwar</t>
        </is>
      </c>
      <c r="Y85" s="21" t="inlineStr">
        <is>
          <t>Jodhpur</t>
        </is>
      </c>
      <c r="Z85" s="21" t="inlineStr">
        <is>
          <t>Rajasthan</t>
        </is>
      </c>
      <c r="AA85" s="21" t="inlineStr">
        <is>
          <t>342030</t>
        </is>
      </c>
      <c r="AB85" s="24" t="inlineStr">
        <is>
          <t>Official Cohort Registry (IIT Jodhpur MedTech Portal)</t>
        </is>
      </c>
    </row>
    <row r="86" ht="20" customHeight="1">
      <c r="A86" s="27" t="n">
        <v>82</v>
      </c>
      <c r="B86" s="28" t="inlineStr">
        <is>
          <t>P25IM0001</t>
        </is>
      </c>
      <c r="C86" s="29" t="inlineStr">
        <is>
          <t>Deepika Yadav</t>
        </is>
      </c>
      <c r="D86" s="27" t="inlineStr">
        <is>
          <t>PhD</t>
        </is>
      </c>
      <c r="E86" s="30" t="inlineStr">
        <is>
          <t>Ph.D. in Medical Technology</t>
        </is>
      </c>
      <c r="F86" s="27" t="n">
        <v>2025</v>
      </c>
      <c r="G86" s="27" t="n">
        <v>2030</v>
      </c>
      <c r="H86" s="31" t="inlineStr">
        <is>
          <t>Active</t>
        </is>
      </c>
      <c r="I86" s="30" t="inlineStr">
        <is>
          <t>Medical Technology</t>
        </is>
      </c>
      <c r="J86" s="30" t="inlineStr">
        <is>
          <t>Faculty Board (IDRP / AIIMS-IIT Joint)</t>
        </is>
      </c>
      <c r="K86" s="30" t="inlineStr">
        <is>
          <t>p25im0001@iitj.ac.in</t>
        </is>
      </c>
      <c r="L86" s="27" t="inlineStr">
        <is>
          <t>-</t>
        </is>
      </c>
      <c r="M86" s="27" t="n">
        <v>0</v>
      </c>
      <c r="N86" s="30" t="inlineStr">
        <is>
          <t>-</t>
        </is>
      </c>
      <c r="O86" s="27" t="n">
        <v>0</v>
      </c>
      <c r="P86" s="30" t="inlineStr">
        <is>
          <t>-</t>
        </is>
      </c>
      <c r="Q86" s="27" t="n">
        <v>0</v>
      </c>
      <c r="R86" s="30" t="inlineStr">
        <is>
          <t>-</t>
        </is>
      </c>
      <c r="S86" s="27" t="n">
        <v>0</v>
      </c>
      <c r="T86" s="30" t="inlineStr">
        <is>
          <t>-</t>
        </is>
      </c>
      <c r="U86" s="27" t="inlineStr">
        <is>
          <t>-</t>
        </is>
      </c>
      <c r="V86" s="27" t="inlineStr">
        <is>
          <t>-</t>
        </is>
      </c>
      <c r="W86" s="30" t="inlineStr">
        <is>
          <t>Centre for Medical Technologies (IDRP)</t>
        </is>
      </c>
      <c r="X86" s="30" t="inlineStr">
        <is>
          <t>IIT Jodhpur Permanent Campus, NH 62, Karwar</t>
        </is>
      </c>
      <c r="Y86" s="27" t="inlineStr">
        <is>
          <t>Jodhpur</t>
        </is>
      </c>
      <c r="Z86" s="27" t="inlineStr">
        <is>
          <t>Rajasthan</t>
        </is>
      </c>
      <c r="AA86" s="27" t="inlineStr">
        <is>
          <t>342030</t>
        </is>
      </c>
      <c r="AB86" s="30" t="inlineStr">
        <is>
          <t>Official Cohort Registry (IIT Jodhpur MedTech Portal)</t>
        </is>
      </c>
    </row>
    <row r="87" ht="20" customHeight="1">
      <c r="A87" s="21" t="n">
        <v>83</v>
      </c>
      <c r="B87" s="22" t="inlineStr">
        <is>
          <t>P25IM0002</t>
        </is>
      </c>
      <c r="C87" s="23" t="inlineStr">
        <is>
          <t>Prachi Chaudhary</t>
        </is>
      </c>
      <c r="D87" s="21" t="inlineStr">
        <is>
          <t>PhD</t>
        </is>
      </c>
      <c r="E87" s="24" t="inlineStr">
        <is>
          <t>Ph.D. in Medical Technology</t>
        </is>
      </c>
      <c r="F87" s="21" t="n">
        <v>2025</v>
      </c>
      <c r="G87" s="21" t="n">
        <v>2030</v>
      </c>
      <c r="H87" s="31" t="inlineStr">
        <is>
          <t>Active</t>
        </is>
      </c>
      <c r="I87" s="24" t="inlineStr">
        <is>
          <t>Medical Technology</t>
        </is>
      </c>
      <c r="J87" s="24" t="inlineStr">
        <is>
          <t>Faculty Board (IDRP / AIIMS-IIT Joint)</t>
        </is>
      </c>
      <c r="K87" s="24" t="inlineStr">
        <is>
          <t>p25im0002@iitj.ac.in</t>
        </is>
      </c>
      <c r="L87" s="21" t="inlineStr">
        <is>
          <t>-</t>
        </is>
      </c>
      <c r="M87" s="21" t="n">
        <v>0</v>
      </c>
      <c r="N87" s="24" t="inlineStr">
        <is>
          <t>-</t>
        </is>
      </c>
      <c r="O87" s="21" t="n">
        <v>0</v>
      </c>
      <c r="P87" s="24" t="inlineStr">
        <is>
          <t>-</t>
        </is>
      </c>
      <c r="Q87" s="21" t="n">
        <v>0</v>
      </c>
      <c r="R87" s="24" t="inlineStr">
        <is>
          <t>-</t>
        </is>
      </c>
      <c r="S87" s="21" t="n">
        <v>0</v>
      </c>
      <c r="T87" s="24" t="inlineStr">
        <is>
          <t>-</t>
        </is>
      </c>
      <c r="U87" s="21" t="inlineStr">
        <is>
          <t>-</t>
        </is>
      </c>
      <c r="V87" s="21" t="inlineStr">
        <is>
          <t>-</t>
        </is>
      </c>
      <c r="W87" s="24" t="inlineStr">
        <is>
          <t>Centre for Medical Technologies (IDRP)</t>
        </is>
      </c>
      <c r="X87" s="24" t="inlineStr">
        <is>
          <t>IIT Jodhpur Permanent Campus, NH 62, Karwar</t>
        </is>
      </c>
      <c r="Y87" s="21" t="inlineStr">
        <is>
          <t>Jodhpur</t>
        </is>
      </c>
      <c r="Z87" s="21" t="inlineStr">
        <is>
          <t>Rajasthan</t>
        </is>
      </c>
      <c r="AA87" s="21" t="inlineStr">
        <is>
          <t>342030</t>
        </is>
      </c>
      <c r="AB87" s="24" t="inlineStr">
        <is>
          <t>Official Cohort Registry (IIT Jodhpur MedTech Portal)</t>
        </is>
      </c>
    </row>
    <row r="88" ht="20" customHeight="1">
      <c r="A88" s="27" t="n">
        <v>84</v>
      </c>
      <c r="B88" s="28" t="inlineStr">
        <is>
          <t>P25IM0003</t>
        </is>
      </c>
      <c r="C88" s="29" t="inlineStr">
        <is>
          <t>Rakshit Vyas</t>
        </is>
      </c>
      <c r="D88" s="27" t="inlineStr">
        <is>
          <t>PhD</t>
        </is>
      </c>
      <c r="E88" s="30" t="inlineStr">
        <is>
          <t>Ph.D. in Medical Technology</t>
        </is>
      </c>
      <c r="F88" s="27" t="n">
        <v>2025</v>
      </c>
      <c r="G88" s="27" t="n">
        <v>2030</v>
      </c>
      <c r="H88" s="31" t="inlineStr">
        <is>
          <t>Active</t>
        </is>
      </c>
      <c r="I88" s="30" t="inlineStr">
        <is>
          <t>Medical Technology</t>
        </is>
      </c>
      <c r="J88" s="30" t="inlineStr">
        <is>
          <t>Faculty Board (IDRP / AIIMS-IIT Joint)</t>
        </is>
      </c>
      <c r="K88" s="30" t="inlineStr">
        <is>
          <t>p25im0003@iitj.ac.in</t>
        </is>
      </c>
      <c r="L88" s="27" t="inlineStr">
        <is>
          <t>-</t>
        </is>
      </c>
      <c r="M88" s="27" t="n">
        <v>0</v>
      </c>
      <c r="N88" s="30" t="inlineStr">
        <is>
          <t>-</t>
        </is>
      </c>
      <c r="O88" s="27" t="n">
        <v>0</v>
      </c>
      <c r="P88" s="30" t="inlineStr">
        <is>
          <t>-</t>
        </is>
      </c>
      <c r="Q88" s="27" t="n">
        <v>0</v>
      </c>
      <c r="R88" s="30" t="inlineStr">
        <is>
          <t>-</t>
        </is>
      </c>
      <c r="S88" s="27" t="n">
        <v>0</v>
      </c>
      <c r="T88" s="30" t="inlineStr">
        <is>
          <t>-</t>
        </is>
      </c>
      <c r="U88" s="27" t="inlineStr">
        <is>
          <t>-</t>
        </is>
      </c>
      <c r="V88" s="27" t="inlineStr">
        <is>
          <t>-</t>
        </is>
      </c>
      <c r="W88" s="30" t="inlineStr">
        <is>
          <t>Centre for Medical Technologies (IDRP)</t>
        </is>
      </c>
      <c r="X88" s="30" t="inlineStr">
        <is>
          <t>IIT Jodhpur Permanent Campus, NH 62, Karwar</t>
        </is>
      </c>
      <c r="Y88" s="27" t="inlineStr">
        <is>
          <t>Jodhpur</t>
        </is>
      </c>
      <c r="Z88" s="27" t="inlineStr">
        <is>
          <t>Rajasthan</t>
        </is>
      </c>
      <c r="AA88" s="27" t="inlineStr">
        <is>
          <t>342030</t>
        </is>
      </c>
      <c r="AB88" s="30" t="inlineStr">
        <is>
          <t>Official Cohort Registry (IIT Jodhpur MedTech Portal)</t>
        </is>
      </c>
    </row>
    <row r="89" ht="20" customHeight="1">
      <c r="A89" s="21" t="n">
        <v>85</v>
      </c>
      <c r="B89" s="22" t="inlineStr">
        <is>
          <t>P25IM0005</t>
        </is>
      </c>
      <c r="C89" s="23" t="inlineStr">
        <is>
          <t>Shweta Yadav</t>
        </is>
      </c>
      <c r="D89" s="21" t="inlineStr">
        <is>
          <t>PhD</t>
        </is>
      </c>
      <c r="E89" s="24" t="inlineStr">
        <is>
          <t>Ph.D. in Medical Technology</t>
        </is>
      </c>
      <c r="F89" s="21" t="n">
        <v>2025</v>
      </c>
      <c r="G89" s="21" t="n">
        <v>2030</v>
      </c>
      <c r="H89" s="31" t="inlineStr">
        <is>
          <t>Active</t>
        </is>
      </c>
      <c r="I89" s="24" t="inlineStr">
        <is>
          <t>Medical Technology</t>
        </is>
      </c>
      <c r="J89" s="24" t="inlineStr">
        <is>
          <t>Faculty Board (IDRP / AIIMS-IIT Joint)</t>
        </is>
      </c>
      <c r="K89" s="24" t="inlineStr">
        <is>
          <t>p25im0005@iitj.ac.in</t>
        </is>
      </c>
      <c r="L89" s="21" t="inlineStr">
        <is>
          <t>-</t>
        </is>
      </c>
      <c r="M89" s="21" t="n">
        <v>0</v>
      </c>
      <c r="N89" s="24" t="inlineStr">
        <is>
          <t>-</t>
        </is>
      </c>
      <c r="O89" s="21" t="n">
        <v>0</v>
      </c>
      <c r="P89" s="24" t="inlineStr">
        <is>
          <t>-</t>
        </is>
      </c>
      <c r="Q89" s="21" t="n">
        <v>0</v>
      </c>
      <c r="R89" s="24" t="inlineStr">
        <is>
          <t>-</t>
        </is>
      </c>
      <c r="S89" s="21" t="n">
        <v>0</v>
      </c>
      <c r="T89" s="24" t="inlineStr">
        <is>
          <t>-</t>
        </is>
      </c>
      <c r="U89" s="21" t="inlineStr">
        <is>
          <t>-</t>
        </is>
      </c>
      <c r="V89" s="21" t="inlineStr">
        <is>
          <t>-</t>
        </is>
      </c>
      <c r="W89" s="24" t="inlineStr">
        <is>
          <t>Centre for Medical Technologies (IDRP)</t>
        </is>
      </c>
      <c r="X89" s="24" t="inlineStr">
        <is>
          <t>IIT Jodhpur Permanent Campus, NH 62, Karwar</t>
        </is>
      </c>
      <c r="Y89" s="21" t="inlineStr">
        <is>
          <t>Jodhpur</t>
        </is>
      </c>
      <c r="Z89" s="21" t="inlineStr">
        <is>
          <t>Rajasthan</t>
        </is>
      </c>
      <c r="AA89" s="21" t="inlineStr">
        <is>
          <t>342030</t>
        </is>
      </c>
      <c r="AB89" s="24" t="inlineStr">
        <is>
          <t>Official Cohort Registry (IIT Jodhpur MedTech Portal)</t>
        </is>
      </c>
    </row>
    <row r="90" ht="20" customHeight="1">
      <c r="A90" s="27" t="n">
        <v>86</v>
      </c>
      <c r="B90" s="28" t="inlineStr">
        <is>
          <t>P25IM0006</t>
        </is>
      </c>
      <c r="C90" s="29" t="inlineStr">
        <is>
          <t>Swati Yadav</t>
        </is>
      </c>
      <c r="D90" s="27" t="inlineStr">
        <is>
          <t>PhD</t>
        </is>
      </c>
      <c r="E90" s="30" t="inlineStr">
        <is>
          <t>Ph.D. in Medical Technology</t>
        </is>
      </c>
      <c r="F90" s="27" t="n">
        <v>2025</v>
      </c>
      <c r="G90" s="27" t="n">
        <v>2030</v>
      </c>
      <c r="H90" s="31" t="inlineStr">
        <is>
          <t>Active</t>
        </is>
      </c>
      <c r="I90" s="30" t="inlineStr">
        <is>
          <t>Medical Technology</t>
        </is>
      </c>
      <c r="J90" s="30" t="inlineStr">
        <is>
          <t>Faculty Board (IDRP / AIIMS-IIT Joint)</t>
        </is>
      </c>
      <c r="K90" s="30" t="inlineStr">
        <is>
          <t>p25im0006@iitj.ac.in</t>
        </is>
      </c>
      <c r="L90" s="27" t="inlineStr">
        <is>
          <t>-</t>
        </is>
      </c>
      <c r="M90" s="27" t="n">
        <v>0</v>
      </c>
      <c r="N90" s="30" t="inlineStr">
        <is>
          <t>-</t>
        </is>
      </c>
      <c r="O90" s="27" t="n">
        <v>0</v>
      </c>
      <c r="P90" s="30" t="inlineStr">
        <is>
          <t>-</t>
        </is>
      </c>
      <c r="Q90" s="27" t="n">
        <v>0</v>
      </c>
      <c r="R90" s="30" t="inlineStr">
        <is>
          <t>-</t>
        </is>
      </c>
      <c r="S90" s="27" t="n">
        <v>0</v>
      </c>
      <c r="T90" s="30" t="inlineStr">
        <is>
          <t>-</t>
        </is>
      </c>
      <c r="U90" s="27" t="inlineStr">
        <is>
          <t>-</t>
        </is>
      </c>
      <c r="V90" s="27" t="inlineStr">
        <is>
          <t>-</t>
        </is>
      </c>
      <c r="W90" s="30" t="inlineStr">
        <is>
          <t>Centre for Medical Technologies (IDRP)</t>
        </is>
      </c>
      <c r="X90" s="30" t="inlineStr">
        <is>
          <t>IIT Jodhpur Permanent Campus, NH 62, Karwar</t>
        </is>
      </c>
      <c r="Y90" s="27" t="inlineStr">
        <is>
          <t>Jodhpur</t>
        </is>
      </c>
      <c r="Z90" s="27" t="inlineStr">
        <is>
          <t>Rajasthan</t>
        </is>
      </c>
      <c r="AA90" s="27" t="inlineStr">
        <is>
          <t>342030</t>
        </is>
      </c>
      <c r="AB90" s="30" t="inlineStr">
        <is>
          <t>Official Cohort Registry (IIT Jodhpur MedTech Portal)</t>
        </is>
      </c>
    </row>
    <row r="91" ht="20" customHeight="1">
      <c r="A91" s="21" t="n">
        <v>87</v>
      </c>
      <c r="B91" s="22" t="inlineStr">
        <is>
          <t>D25IM1001</t>
        </is>
      </c>
      <c r="C91" s="23" t="inlineStr">
        <is>
          <t>Ankur Bhardwaj</t>
        </is>
      </c>
      <c r="D91" s="21" t="inlineStr">
        <is>
          <t>Dual Degree</t>
        </is>
      </c>
      <c r="E91" s="24" t="inlineStr">
        <is>
          <t>M.Tech-Ph.D. Dual Degree in Medical Technology</t>
        </is>
      </c>
      <c r="F91" s="21" t="n">
        <v>2025</v>
      </c>
      <c r="G91" s="21" t="n">
        <v>2030</v>
      </c>
      <c r="H91" s="31" t="inlineStr">
        <is>
          <t>Active</t>
        </is>
      </c>
      <c r="I91" s="24" t="inlineStr">
        <is>
          <t>Medical Technology</t>
        </is>
      </c>
      <c r="J91" s="24" t="inlineStr">
        <is>
          <t>Faculty Board (IDRP / AIIMS-IIT Joint)</t>
        </is>
      </c>
      <c r="K91" s="24" t="inlineStr">
        <is>
          <t>d25im1001@iitj.ac.in</t>
        </is>
      </c>
      <c r="L91" s="21" t="inlineStr">
        <is>
          <t>-</t>
        </is>
      </c>
      <c r="M91" s="21" t="n">
        <v>0</v>
      </c>
      <c r="N91" s="24" t="inlineStr">
        <is>
          <t>-</t>
        </is>
      </c>
      <c r="O91" s="21" t="n">
        <v>0</v>
      </c>
      <c r="P91" s="24" t="inlineStr">
        <is>
          <t>-</t>
        </is>
      </c>
      <c r="Q91" s="21" t="n">
        <v>0</v>
      </c>
      <c r="R91" s="24" t="inlineStr">
        <is>
          <t>-</t>
        </is>
      </c>
      <c r="S91" s="21" t="n">
        <v>0</v>
      </c>
      <c r="T91" s="24" t="inlineStr">
        <is>
          <t>-</t>
        </is>
      </c>
      <c r="U91" s="21" t="inlineStr">
        <is>
          <t>-</t>
        </is>
      </c>
      <c r="V91" s="21" t="inlineStr">
        <is>
          <t>-</t>
        </is>
      </c>
      <c r="W91" s="24" t="inlineStr">
        <is>
          <t>Centre for Medical Technologies (IDRP)</t>
        </is>
      </c>
      <c r="X91" s="24" t="inlineStr">
        <is>
          <t>IIT Jodhpur Permanent Campus, NH 62, Karwar</t>
        </is>
      </c>
      <c r="Y91" s="21" t="inlineStr">
        <is>
          <t>Jodhpur</t>
        </is>
      </c>
      <c r="Z91" s="21" t="inlineStr">
        <is>
          <t>Rajasthan</t>
        </is>
      </c>
      <c r="AA91" s="21" t="inlineStr">
        <is>
          <t>342030</t>
        </is>
      </c>
      <c r="AB91" s="24" t="inlineStr">
        <is>
          <t>Official Cohort Registry (IIT Jodhpur MedTech Portal)</t>
        </is>
      </c>
    </row>
    <row r="92" ht="20" customHeight="1">
      <c r="A92" s="27" t="n">
        <v>88</v>
      </c>
      <c r="B92" s="28" t="inlineStr">
        <is>
          <t>D25IM1002</t>
        </is>
      </c>
      <c r="C92" s="29" t="inlineStr">
        <is>
          <t>Jestin Joseph</t>
        </is>
      </c>
      <c r="D92" s="27" t="inlineStr">
        <is>
          <t>Dual Degree</t>
        </is>
      </c>
      <c r="E92" s="30" t="inlineStr">
        <is>
          <t>M.Tech-Ph.D. Dual Degree in Medical Technology</t>
        </is>
      </c>
      <c r="F92" s="27" t="n">
        <v>2025</v>
      </c>
      <c r="G92" s="27" t="n">
        <v>2030</v>
      </c>
      <c r="H92" s="31" t="inlineStr">
        <is>
          <t>Active</t>
        </is>
      </c>
      <c r="I92" s="30" t="inlineStr">
        <is>
          <t>Medical Technology</t>
        </is>
      </c>
      <c r="J92" s="30" t="inlineStr">
        <is>
          <t>Faculty Board (IDRP / AIIMS-IIT Joint)</t>
        </is>
      </c>
      <c r="K92" s="30" t="inlineStr">
        <is>
          <t>d25im1002@iitj.ac.in</t>
        </is>
      </c>
      <c r="L92" s="27" t="inlineStr">
        <is>
          <t>-</t>
        </is>
      </c>
      <c r="M92" s="27" t="n">
        <v>0</v>
      </c>
      <c r="N92" s="30" t="inlineStr">
        <is>
          <t>-</t>
        </is>
      </c>
      <c r="O92" s="27" t="n">
        <v>0</v>
      </c>
      <c r="P92" s="30" t="inlineStr">
        <is>
          <t>-</t>
        </is>
      </c>
      <c r="Q92" s="27" t="n">
        <v>0</v>
      </c>
      <c r="R92" s="30" t="inlineStr">
        <is>
          <t>-</t>
        </is>
      </c>
      <c r="S92" s="27" t="n">
        <v>0</v>
      </c>
      <c r="T92" s="30" t="inlineStr">
        <is>
          <t>-</t>
        </is>
      </c>
      <c r="U92" s="27" t="inlineStr">
        <is>
          <t>-</t>
        </is>
      </c>
      <c r="V92" s="27" t="inlineStr">
        <is>
          <t>-</t>
        </is>
      </c>
      <c r="W92" s="30" t="inlineStr">
        <is>
          <t>Centre for Medical Technologies (IDRP)</t>
        </is>
      </c>
      <c r="X92" s="30" t="inlineStr">
        <is>
          <t>IIT Jodhpur Permanent Campus, NH 62, Karwar</t>
        </is>
      </c>
      <c r="Y92" s="27" t="inlineStr">
        <is>
          <t>Jodhpur</t>
        </is>
      </c>
      <c r="Z92" s="27" t="inlineStr">
        <is>
          <t>Rajasthan</t>
        </is>
      </c>
      <c r="AA92" s="27" t="inlineStr">
        <is>
          <t>342030</t>
        </is>
      </c>
      <c r="AB92" s="30" t="inlineStr">
        <is>
          <t>Official Cohort Registry (IIT Jodhpur MedTech Portal)</t>
        </is>
      </c>
    </row>
    <row r="93" ht="20" customHeight="1">
      <c r="A93" s="21" t="n">
        <v>89</v>
      </c>
      <c r="B93" s="22" t="inlineStr">
        <is>
          <t>D25IM1005</t>
        </is>
      </c>
      <c r="C93" s="23" t="inlineStr">
        <is>
          <t>Mohammed Fahim C</t>
        </is>
      </c>
      <c r="D93" s="21" t="inlineStr">
        <is>
          <t>Dual Degree</t>
        </is>
      </c>
      <c r="E93" s="24" t="inlineStr">
        <is>
          <t>M.Tech-Ph.D. Dual Degree in Medical Technology</t>
        </is>
      </c>
      <c r="F93" s="21" t="n">
        <v>2025</v>
      </c>
      <c r="G93" s="21" t="n">
        <v>2030</v>
      </c>
      <c r="H93" s="31" t="inlineStr">
        <is>
          <t>Active</t>
        </is>
      </c>
      <c r="I93" s="24" t="inlineStr">
        <is>
          <t>Medical Technology</t>
        </is>
      </c>
      <c r="J93" s="24" t="inlineStr">
        <is>
          <t>Faculty Board (IDRP / AIIMS-IIT Joint)</t>
        </is>
      </c>
      <c r="K93" s="24" t="inlineStr">
        <is>
          <t>d25im1005@iitj.ac.in</t>
        </is>
      </c>
      <c r="L93" s="21" t="inlineStr">
        <is>
          <t>-</t>
        </is>
      </c>
      <c r="M93" s="21" t="n">
        <v>0</v>
      </c>
      <c r="N93" s="24" t="inlineStr">
        <is>
          <t>-</t>
        </is>
      </c>
      <c r="O93" s="21" t="n">
        <v>0</v>
      </c>
      <c r="P93" s="24" t="inlineStr">
        <is>
          <t>-</t>
        </is>
      </c>
      <c r="Q93" s="21" t="n">
        <v>0</v>
      </c>
      <c r="R93" s="24" t="inlineStr">
        <is>
          <t>-</t>
        </is>
      </c>
      <c r="S93" s="21" t="n">
        <v>0</v>
      </c>
      <c r="T93" s="24" t="inlineStr">
        <is>
          <t>-</t>
        </is>
      </c>
      <c r="U93" s="21" t="inlineStr">
        <is>
          <t>-</t>
        </is>
      </c>
      <c r="V93" s="21" t="inlineStr">
        <is>
          <t>-</t>
        </is>
      </c>
      <c r="W93" s="24" t="inlineStr">
        <is>
          <t>Centre for Medical Technologies (IDRP)</t>
        </is>
      </c>
      <c r="X93" s="24" t="inlineStr">
        <is>
          <t>IIT Jodhpur Permanent Campus, NH 62, Karwar</t>
        </is>
      </c>
      <c r="Y93" s="21" t="inlineStr">
        <is>
          <t>Jodhpur</t>
        </is>
      </c>
      <c r="Z93" s="21" t="inlineStr">
        <is>
          <t>Rajasthan</t>
        </is>
      </c>
      <c r="AA93" s="21" t="inlineStr">
        <is>
          <t>342030</t>
        </is>
      </c>
      <c r="AB93" s="24" t="inlineStr">
        <is>
          <t>Official Cohort Registry (IIT Jodhpur MedTech Portal)</t>
        </is>
      </c>
    </row>
    <row r="94" ht="20" customHeight="1">
      <c r="A94" s="27" t="n">
        <v>90</v>
      </c>
      <c r="B94" s="28" t="inlineStr">
        <is>
          <t>M26IM1001</t>
        </is>
      </c>
      <c r="C94" s="29" t="inlineStr">
        <is>
          <t>Ankit Sharma</t>
        </is>
      </c>
      <c r="D94" s="27" t="inlineStr">
        <is>
          <t>Masters</t>
        </is>
      </c>
      <c r="E94" s="30" t="inlineStr">
        <is>
          <t>M.Tech in Medical Technology</t>
        </is>
      </c>
      <c r="F94" s="27" t="n">
        <v>2026</v>
      </c>
      <c r="G94" s="27" t="n">
        <v>2028</v>
      </c>
      <c r="H94" s="31" t="inlineStr">
        <is>
          <t>Active</t>
        </is>
      </c>
      <c r="I94" s="30" t="inlineStr">
        <is>
          <t>Medical Technology</t>
        </is>
      </c>
      <c r="J94" s="30" t="inlineStr">
        <is>
          <t>Faculty Board (IDRP / AIIMS-IIT Joint)</t>
        </is>
      </c>
      <c r="K94" s="30" t="inlineStr">
        <is>
          <t>m26im1001@iitj.ac.in</t>
        </is>
      </c>
      <c r="L94" s="27" t="inlineStr">
        <is>
          <t>-</t>
        </is>
      </c>
      <c r="M94" s="27" t="n">
        <v>0</v>
      </c>
      <c r="N94" s="30" t="inlineStr">
        <is>
          <t>-</t>
        </is>
      </c>
      <c r="O94" s="27" t="n">
        <v>0</v>
      </c>
      <c r="P94" s="30" t="inlineStr">
        <is>
          <t>-</t>
        </is>
      </c>
      <c r="Q94" s="27" t="n">
        <v>0</v>
      </c>
      <c r="R94" s="30" t="inlineStr">
        <is>
          <t>-</t>
        </is>
      </c>
      <c r="S94" s="27" t="n">
        <v>0</v>
      </c>
      <c r="T94" s="30" t="inlineStr">
        <is>
          <t>-</t>
        </is>
      </c>
      <c r="U94" s="27" t="inlineStr">
        <is>
          <t>-</t>
        </is>
      </c>
      <c r="V94" s="27" t="inlineStr">
        <is>
          <t>-</t>
        </is>
      </c>
      <c r="W94" s="30" t="inlineStr">
        <is>
          <t>Centre for Medical Technologies (IDRP)</t>
        </is>
      </c>
      <c r="X94" s="30" t="inlineStr">
        <is>
          <t>IIT Jodhpur Permanent Campus, NH 62, Karwar</t>
        </is>
      </c>
      <c r="Y94" s="27" t="inlineStr">
        <is>
          <t>Jodhpur</t>
        </is>
      </c>
      <c r="Z94" s="27" t="inlineStr">
        <is>
          <t>Rajasthan</t>
        </is>
      </c>
      <c r="AA94" s="27" t="inlineStr">
        <is>
          <t>342030</t>
        </is>
      </c>
      <c r="AB94" s="30" t="inlineStr">
        <is>
          <t>Official Cohort Registry (IIT Jodhpur MedTech Portal)</t>
        </is>
      </c>
    </row>
    <row r="95" ht="20" customHeight="1">
      <c r="A95" s="21" t="n">
        <v>91</v>
      </c>
      <c r="B95" s="22" t="inlineStr">
        <is>
          <t>M26IM10010</t>
        </is>
      </c>
      <c r="C95" s="23" t="inlineStr">
        <is>
          <t>Mrunal Sonawale</t>
        </is>
      </c>
      <c r="D95" s="21" t="inlineStr">
        <is>
          <t>Masters</t>
        </is>
      </c>
      <c r="E95" s="24" t="inlineStr">
        <is>
          <t>M.Tech in Medical Technology</t>
        </is>
      </c>
      <c r="F95" s="21" t="n">
        <v>2026</v>
      </c>
      <c r="G95" s="21" t="n">
        <v>2028</v>
      </c>
      <c r="H95" s="31" t="inlineStr">
        <is>
          <t>Active</t>
        </is>
      </c>
      <c r="I95" s="24" t="inlineStr">
        <is>
          <t>Medical Technology</t>
        </is>
      </c>
      <c r="J95" s="24" t="inlineStr">
        <is>
          <t>Faculty Board (IDRP / AIIMS-IIT Joint)</t>
        </is>
      </c>
      <c r="K95" s="24" t="inlineStr">
        <is>
          <t>m26im10010@iitj.ac.in</t>
        </is>
      </c>
      <c r="L95" s="21" t="inlineStr">
        <is>
          <t>-</t>
        </is>
      </c>
      <c r="M95" s="21" t="n">
        <v>0</v>
      </c>
      <c r="N95" s="24" t="inlineStr">
        <is>
          <t>-</t>
        </is>
      </c>
      <c r="O95" s="21" t="n">
        <v>0</v>
      </c>
      <c r="P95" s="24" t="inlineStr">
        <is>
          <t>-</t>
        </is>
      </c>
      <c r="Q95" s="21" t="n">
        <v>0</v>
      </c>
      <c r="R95" s="24" t="inlineStr">
        <is>
          <t>-</t>
        </is>
      </c>
      <c r="S95" s="21" t="n">
        <v>0</v>
      </c>
      <c r="T95" s="24" t="inlineStr">
        <is>
          <t>-</t>
        </is>
      </c>
      <c r="U95" s="21" t="inlineStr">
        <is>
          <t>-</t>
        </is>
      </c>
      <c r="V95" s="21" t="inlineStr">
        <is>
          <t>-</t>
        </is>
      </c>
      <c r="W95" s="24" t="inlineStr">
        <is>
          <t>Centre for Medical Technologies (IDRP)</t>
        </is>
      </c>
      <c r="X95" s="24" t="inlineStr">
        <is>
          <t>IIT Jodhpur Permanent Campus, NH 62, Karwar</t>
        </is>
      </c>
      <c r="Y95" s="21" t="inlineStr">
        <is>
          <t>Jodhpur</t>
        </is>
      </c>
      <c r="Z95" s="21" t="inlineStr">
        <is>
          <t>Rajasthan</t>
        </is>
      </c>
      <c r="AA95" s="21" t="inlineStr">
        <is>
          <t>342030</t>
        </is>
      </c>
      <c r="AB95" s="24" t="inlineStr">
        <is>
          <t>Official Cohort Registry (IIT Jodhpur MedTech Portal)</t>
        </is>
      </c>
    </row>
    <row r="96" ht="20" customHeight="1">
      <c r="A96" s="27" t="n">
        <v>92</v>
      </c>
      <c r="B96" s="28" t="inlineStr">
        <is>
          <t>M26IM10011</t>
        </is>
      </c>
      <c r="C96" s="29" t="inlineStr">
        <is>
          <t>Paras J Keyravan</t>
        </is>
      </c>
      <c r="D96" s="27" t="inlineStr">
        <is>
          <t>Masters</t>
        </is>
      </c>
      <c r="E96" s="30" t="inlineStr">
        <is>
          <t>M.Tech in Medical Technology</t>
        </is>
      </c>
      <c r="F96" s="27" t="n">
        <v>2026</v>
      </c>
      <c r="G96" s="27" t="n">
        <v>2028</v>
      </c>
      <c r="H96" s="31" t="inlineStr">
        <is>
          <t>Active</t>
        </is>
      </c>
      <c r="I96" s="30" t="inlineStr">
        <is>
          <t>Medical Technology</t>
        </is>
      </c>
      <c r="J96" s="30" t="inlineStr">
        <is>
          <t>Faculty Board (IDRP / AIIMS-IIT Joint)</t>
        </is>
      </c>
      <c r="K96" s="30" t="inlineStr">
        <is>
          <t>m26im10011@iitj.ac.in</t>
        </is>
      </c>
      <c r="L96" s="27" t="inlineStr">
        <is>
          <t>-</t>
        </is>
      </c>
      <c r="M96" s="27" t="n">
        <v>0</v>
      </c>
      <c r="N96" s="30" t="inlineStr">
        <is>
          <t>-</t>
        </is>
      </c>
      <c r="O96" s="27" t="n">
        <v>0</v>
      </c>
      <c r="P96" s="30" t="inlineStr">
        <is>
          <t>-</t>
        </is>
      </c>
      <c r="Q96" s="27" t="n">
        <v>0</v>
      </c>
      <c r="R96" s="30" t="inlineStr">
        <is>
          <t>-</t>
        </is>
      </c>
      <c r="S96" s="26" t="n">
        <v>1</v>
      </c>
      <c r="T96" s="30" t="inlineStr">
        <is>
          <t>1st position, iStart Rajasthan pitch</t>
        </is>
      </c>
      <c r="U96" s="27" t="inlineStr">
        <is>
          <t>-</t>
        </is>
      </c>
      <c r="V96" s="27" t="inlineStr">
        <is>
          <t>-</t>
        </is>
      </c>
      <c r="W96" s="30" t="inlineStr">
        <is>
          <t>Centre for Medical Technologies (IDRP)</t>
        </is>
      </c>
      <c r="X96" s="30" t="inlineStr">
        <is>
          <t>IIT Jodhpur Permanent Campus, NH 62, Karwar</t>
        </is>
      </c>
      <c r="Y96" s="27" t="inlineStr">
        <is>
          <t>Jodhpur</t>
        </is>
      </c>
      <c r="Z96" s="27" t="inlineStr">
        <is>
          <t>Rajasthan</t>
        </is>
      </c>
      <c r="AA96" s="27" t="inlineStr">
        <is>
          <t>342030</t>
        </is>
      </c>
      <c r="AB96" s="30" t="inlineStr">
        <is>
          <t>Official Cohort Registry (IIT Jodhpur MedTech Portal)</t>
        </is>
      </c>
    </row>
    <row r="97" ht="20" customHeight="1">
      <c r="A97" s="21" t="n">
        <v>93</v>
      </c>
      <c r="B97" s="22" t="inlineStr">
        <is>
          <t>M26IM10012</t>
        </is>
      </c>
      <c r="C97" s="23" t="inlineStr">
        <is>
          <t>Siddhant Dinesh Shenvi</t>
        </is>
      </c>
      <c r="D97" s="21" t="inlineStr">
        <is>
          <t>Masters</t>
        </is>
      </c>
      <c r="E97" s="24" t="inlineStr">
        <is>
          <t>M.Tech in Medical Technology</t>
        </is>
      </c>
      <c r="F97" s="21" t="n">
        <v>2026</v>
      </c>
      <c r="G97" s="21" t="n">
        <v>2028</v>
      </c>
      <c r="H97" s="31" t="inlineStr">
        <is>
          <t>Active</t>
        </is>
      </c>
      <c r="I97" s="24" t="inlineStr">
        <is>
          <t>Medical Technology</t>
        </is>
      </c>
      <c r="J97" s="24" t="inlineStr">
        <is>
          <t>Faculty Board (IDRP / AIIMS-IIT Joint)</t>
        </is>
      </c>
      <c r="K97" s="24" t="inlineStr">
        <is>
          <t>m26im10012@iitj.ac.in</t>
        </is>
      </c>
      <c r="L97" s="21" t="inlineStr">
        <is>
          <t>-</t>
        </is>
      </c>
      <c r="M97" s="21" t="n">
        <v>0</v>
      </c>
      <c r="N97" s="24" t="inlineStr">
        <is>
          <t>-</t>
        </is>
      </c>
      <c r="O97" s="21" t="n">
        <v>0</v>
      </c>
      <c r="P97" s="24" t="inlineStr">
        <is>
          <t>-</t>
        </is>
      </c>
      <c r="Q97" s="21" t="n">
        <v>0</v>
      </c>
      <c r="R97" s="24" t="inlineStr">
        <is>
          <t>-</t>
        </is>
      </c>
      <c r="S97" s="21" t="n">
        <v>0</v>
      </c>
      <c r="T97" s="24" t="inlineStr">
        <is>
          <t>-</t>
        </is>
      </c>
      <c r="U97" s="21" t="inlineStr">
        <is>
          <t>-</t>
        </is>
      </c>
      <c r="V97" s="21" t="inlineStr">
        <is>
          <t>-</t>
        </is>
      </c>
      <c r="W97" s="24" t="inlineStr">
        <is>
          <t>Centre for Medical Technologies (IDRP)</t>
        </is>
      </c>
      <c r="X97" s="24" t="inlineStr">
        <is>
          <t>IIT Jodhpur Permanent Campus, NH 62, Karwar</t>
        </is>
      </c>
      <c r="Y97" s="21" t="inlineStr">
        <is>
          <t>Jodhpur</t>
        </is>
      </c>
      <c r="Z97" s="21" t="inlineStr">
        <is>
          <t>Rajasthan</t>
        </is>
      </c>
      <c r="AA97" s="21" t="inlineStr">
        <is>
          <t>342030</t>
        </is>
      </c>
      <c r="AB97" s="24" t="inlineStr">
        <is>
          <t>Official Cohort Registry (IIT Jodhpur MedTech Portal)</t>
        </is>
      </c>
    </row>
    <row r="98" ht="20" customHeight="1">
      <c r="A98" s="27" t="n">
        <v>94</v>
      </c>
      <c r="B98" s="28" t="inlineStr">
        <is>
          <t>M26IM10013</t>
        </is>
      </c>
      <c r="C98" s="29" t="inlineStr">
        <is>
          <t>Swajal Jain</t>
        </is>
      </c>
      <c r="D98" s="27" t="inlineStr">
        <is>
          <t>Masters</t>
        </is>
      </c>
      <c r="E98" s="30" t="inlineStr">
        <is>
          <t>M.Tech in Medical Technology</t>
        </is>
      </c>
      <c r="F98" s="27" t="n">
        <v>2026</v>
      </c>
      <c r="G98" s="27" t="n">
        <v>2028</v>
      </c>
      <c r="H98" s="31" t="inlineStr">
        <is>
          <t>Active</t>
        </is>
      </c>
      <c r="I98" s="30" t="inlineStr">
        <is>
          <t>Medical Technology</t>
        </is>
      </c>
      <c r="J98" s="30" t="inlineStr">
        <is>
          <t>Faculty Board (IDRP / AIIMS-IIT Joint)</t>
        </is>
      </c>
      <c r="K98" s="30" t="inlineStr">
        <is>
          <t>m26im10013@iitj.ac.in</t>
        </is>
      </c>
      <c r="L98" s="27" t="inlineStr">
        <is>
          <t>-</t>
        </is>
      </c>
      <c r="M98" s="27" t="n">
        <v>0</v>
      </c>
      <c r="N98" s="30" t="inlineStr">
        <is>
          <t>-</t>
        </is>
      </c>
      <c r="O98" s="27" t="n">
        <v>0</v>
      </c>
      <c r="P98" s="30" t="inlineStr">
        <is>
          <t>-</t>
        </is>
      </c>
      <c r="Q98" s="27" t="n">
        <v>0</v>
      </c>
      <c r="R98" s="30" t="inlineStr">
        <is>
          <t>-</t>
        </is>
      </c>
      <c r="S98" s="27" t="n">
        <v>0</v>
      </c>
      <c r="T98" s="30" t="inlineStr">
        <is>
          <t>-</t>
        </is>
      </c>
      <c r="U98" s="27" t="inlineStr">
        <is>
          <t>-</t>
        </is>
      </c>
      <c r="V98" s="27" t="inlineStr">
        <is>
          <t>-</t>
        </is>
      </c>
      <c r="W98" s="30" t="inlineStr">
        <is>
          <t>Centre for Medical Technologies (IDRP)</t>
        </is>
      </c>
      <c r="X98" s="30" t="inlineStr">
        <is>
          <t>IIT Jodhpur Permanent Campus, NH 62, Karwar</t>
        </is>
      </c>
      <c r="Y98" s="27" t="inlineStr">
        <is>
          <t>Jodhpur</t>
        </is>
      </c>
      <c r="Z98" s="27" t="inlineStr">
        <is>
          <t>Rajasthan</t>
        </is>
      </c>
      <c r="AA98" s="27" t="inlineStr">
        <is>
          <t>342030</t>
        </is>
      </c>
      <c r="AB98" s="30" t="inlineStr">
        <is>
          <t>Official Cohort Registry (IIT Jodhpur MedTech Portal)</t>
        </is>
      </c>
    </row>
    <row r="99" ht="20" customHeight="1">
      <c r="A99" s="21" t="n">
        <v>95</v>
      </c>
      <c r="B99" s="22" t="inlineStr">
        <is>
          <t>M26IM10014</t>
        </is>
      </c>
      <c r="C99" s="23" t="inlineStr">
        <is>
          <t>Taqsh Singh Chopra</t>
        </is>
      </c>
      <c r="D99" s="21" t="inlineStr">
        <is>
          <t>Masters</t>
        </is>
      </c>
      <c r="E99" s="24" t="inlineStr">
        <is>
          <t>M.Tech in Medical Technology</t>
        </is>
      </c>
      <c r="F99" s="21" t="n">
        <v>2026</v>
      </c>
      <c r="G99" s="21" t="n">
        <v>2028</v>
      </c>
      <c r="H99" s="31" t="inlineStr">
        <is>
          <t>Active</t>
        </is>
      </c>
      <c r="I99" s="24" t="inlineStr">
        <is>
          <t>Medical Technology</t>
        </is>
      </c>
      <c r="J99" s="24" t="inlineStr">
        <is>
          <t>Faculty Board (IDRP / AIIMS-IIT Joint)</t>
        </is>
      </c>
      <c r="K99" s="24" t="inlineStr">
        <is>
          <t>m26im10014@iitj.ac.in</t>
        </is>
      </c>
      <c r="L99" s="21" t="inlineStr">
        <is>
          <t>-</t>
        </is>
      </c>
      <c r="M99" s="21" t="n">
        <v>0</v>
      </c>
      <c r="N99" s="24" t="inlineStr">
        <is>
          <t>-</t>
        </is>
      </c>
      <c r="O99" s="21" t="n">
        <v>0</v>
      </c>
      <c r="P99" s="24" t="inlineStr">
        <is>
          <t>-</t>
        </is>
      </c>
      <c r="Q99" s="21" t="n">
        <v>0</v>
      </c>
      <c r="R99" s="24" t="inlineStr">
        <is>
          <t>-</t>
        </is>
      </c>
      <c r="S99" s="21" t="n">
        <v>0</v>
      </c>
      <c r="T99" s="24" t="inlineStr">
        <is>
          <t>-</t>
        </is>
      </c>
      <c r="U99" s="21" t="inlineStr">
        <is>
          <t>-</t>
        </is>
      </c>
      <c r="V99" s="21" t="inlineStr">
        <is>
          <t>-</t>
        </is>
      </c>
      <c r="W99" s="24" t="inlineStr">
        <is>
          <t>Centre for Medical Technologies (IDRP)</t>
        </is>
      </c>
      <c r="X99" s="24" t="inlineStr">
        <is>
          <t>IIT Jodhpur Permanent Campus, NH 62, Karwar</t>
        </is>
      </c>
      <c r="Y99" s="21" t="inlineStr">
        <is>
          <t>Jodhpur</t>
        </is>
      </c>
      <c r="Z99" s="21" t="inlineStr">
        <is>
          <t>Rajasthan</t>
        </is>
      </c>
      <c r="AA99" s="21" t="inlineStr">
        <is>
          <t>342030</t>
        </is>
      </c>
      <c r="AB99" s="24" t="inlineStr">
        <is>
          <t>Official Cohort Registry (IIT Jodhpur MedTech Portal)</t>
        </is>
      </c>
    </row>
    <row r="100" ht="20" customHeight="1">
      <c r="A100" s="27" t="n">
        <v>96</v>
      </c>
      <c r="B100" s="28" t="inlineStr">
        <is>
          <t>M26IM1002</t>
        </is>
      </c>
      <c r="C100" s="29" t="inlineStr">
        <is>
          <t>Anushka Sharma</t>
        </is>
      </c>
      <c r="D100" s="27" t="inlineStr">
        <is>
          <t>Masters</t>
        </is>
      </c>
      <c r="E100" s="30" t="inlineStr">
        <is>
          <t>M.Tech in Medical Technology</t>
        </is>
      </c>
      <c r="F100" s="27" t="n">
        <v>2026</v>
      </c>
      <c r="G100" s="27" t="n">
        <v>2028</v>
      </c>
      <c r="H100" s="31" t="inlineStr">
        <is>
          <t>Active</t>
        </is>
      </c>
      <c r="I100" s="30" t="inlineStr">
        <is>
          <t>Medical Technology</t>
        </is>
      </c>
      <c r="J100" s="30" t="inlineStr">
        <is>
          <t>Faculty Board (IDRP / AIIMS-IIT Joint)</t>
        </is>
      </c>
      <c r="K100" s="30" t="inlineStr">
        <is>
          <t>m26im1002@iitj.ac.in</t>
        </is>
      </c>
      <c r="L100" s="27" t="inlineStr">
        <is>
          <t>-</t>
        </is>
      </c>
      <c r="M100" s="27" t="n">
        <v>0</v>
      </c>
      <c r="N100" s="30" t="inlineStr">
        <is>
          <t>-</t>
        </is>
      </c>
      <c r="O100" s="27" t="n">
        <v>0</v>
      </c>
      <c r="P100" s="30" t="inlineStr">
        <is>
          <t>-</t>
        </is>
      </c>
      <c r="Q100" s="27" t="n">
        <v>0</v>
      </c>
      <c r="R100" s="30" t="inlineStr">
        <is>
          <t>-</t>
        </is>
      </c>
      <c r="S100" s="27" t="n">
        <v>0</v>
      </c>
      <c r="T100" s="30" t="inlineStr">
        <is>
          <t>-</t>
        </is>
      </c>
      <c r="U100" s="27" t="inlineStr">
        <is>
          <t>-</t>
        </is>
      </c>
      <c r="V100" s="27" t="inlineStr">
        <is>
          <t>-</t>
        </is>
      </c>
      <c r="W100" s="30" t="inlineStr">
        <is>
          <t>Centre for Medical Technologies (IDRP)</t>
        </is>
      </c>
      <c r="X100" s="30" t="inlineStr">
        <is>
          <t>IIT Jodhpur Permanent Campus, NH 62, Karwar</t>
        </is>
      </c>
      <c r="Y100" s="27" t="inlineStr">
        <is>
          <t>Jodhpur</t>
        </is>
      </c>
      <c r="Z100" s="27" t="inlineStr">
        <is>
          <t>Rajasthan</t>
        </is>
      </c>
      <c r="AA100" s="27" t="inlineStr">
        <is>
          <t>342030</t>
        </is>
      </c>
      <c r="AB100" s="30" t="inlineStr">
        <is>
          <t>Official Cohort Registry (IIT Jodhpur MedTech Portal)</t>
        </is>
      </c>
    </row>
    <row r="101" ht="20" customHeight="1">
      <c r="A101" s="21" t="n">
        <v>97</v>
      </c>
      <c r="B101" s="22" t="inlineStr">
        <is>
          <t>M26IM1003</t>
        </is>
      </c>
      <c r="C101" s="23" t="inlineStr">
        <is>
          <t>Ayush Kumar Mishra</t>
        </is>
      </c>
      <c r="D101" s="21" t="inlineStr">
        <is>
          <t>Masters</t>
        </is>
      </c>
      <c r="E101" s="24" t="inlineStr">
        <is>
          <t>M.Tech in Medical Technology</t>
        </is>
      </c>
      <c r="F101" s="21" t="n">
        <v>2026</v>
      </c>
      <c r="G101" s="21" t="n">
        <v>2028</v>
      </c>
      <c r="H101" s="31" t="inlineStr">
        <is>
          <t>Active</t>
        </is>
      </c>
      <c r="I101" s="24" t="inlineStr">
        <is>
          <t>Medical Technology</t>
        </is>
      </c>
      <c r="J101" s="24" t="inlineStr">
        <is>
          <t>Faculty Board (IDRP / AIIMS-IIT Joint)</t>
        </is>
      </c>
      <c r="K101" s="24" t="inlineStr">
        <is>
          <t>m26im1003@iitj.ac.in</t>
        </is>
      </c>
      <c r="L101" s="21" t="inlineStr">
        <is>
          <t>-</t>
        </is>
      </c>
      <c r="M101" s="21" t="n">
        <v>0</v>
      </c>
      <c r="N101" s="24" t="inlineStr">
        <is>
          <t>-</t>
        </is>
      </c>
      <c r="O101" s="21" t="n">
        <v>0</v>
      </c>
      <c r="P101" s="24" t="inlineStr">
        <is>
          <t>-</t>
        </is>
      </c>
      <c r="Q101" s="21" t="n">
        <v>0</v>
      </c>
      <c r="R101" s="24" t="inlineStr">
        <is>
          <t>-</t>
        </is>
      </c>
      <c r="S101" s="21" t="n">
        <v>0</v>
      </c>
      <c r="T101" s="24" t="inlineStr">
        <is>
          <t>-</t>
        </is>
      </c>
      <c r="U101" s="21" t="inlineStr">
        <is>
          <t>-</t>
        </is>
      </c>
      <c r="V101" s="21" t="inlineStr">
        <is>
          <t>-</t>
        </is>
      </c>
      <c r="W101" s="24" t="inlineStr">
        <is>
          <t>Centre for Medical Technologies (IDRP)</t>
        </is>
      </c>
      <c r="X101" s="24" t="inlineStr">
        <is>
          <t>IIT Jodhpur Permanent Campus, NH 62, Karwar</t>
        </is>
      </c>
      <c r="Y101" s="21" t="inlineStr">
        <is>
          <t>Jodhpur</t>
        </is>
      </c>
      <c r="Z101" s="21" t="inlineStr">
        <is>
          <t>Rajasthan</t>
        </is>
      </c>
      <c r="AA101" s="21" t="inlineStr">
        <is>
          <t>342030</t>
        </is>
      </c>
      <c r="AB101" s="24" t="inlineStr">
        <is>
          <t>Official Cohort Registry (IIT Jodhpur MedTech Portal)</t>
        </is>
      </c>
    </row>
    <row r="102" ht="20" customHeight="1">
      <c r="A102" s="27" t="n">
        <v>98</v>
      </c>
      <c r="B102" s="28" t="inlineStr">
        <is>
          <t>M26IM1004</t>
        </is>
      </c>
      <c r="C102" s="29" t="inlineStr">
        <is>
          <t>Chaudhari Pratik Deepak</t>
        </is>
      </c>
      <c r="D102" s="27" t="inlineStr">
        <is>
          <t>Masters</t>
        </is>
      </c>
      <c r="E102" s="30" t="inlineStr">
        <is>
          <t>M.Tech in Medical Technology</t>
        </is>
      </c>
      <c r="F102" s="27" t="n">
        <v>2026</v>
      </c>
      <c r="G102" s="27" t="n">
        <v>2028</v>
      </c>
      <c r="H102" s="31" t="inlineStr">
        <is>
          <t>Active</t>
        </is>
      </c>
      <c r="I102" s="30" t="inlineStr">
        <is>
          <t>Medical Technology</t>
        </is>
      </c>
      <c r="J102" s="30" t="inlineStr">
        <is>
          <t>Faculty Board (IDRP / AIIMS-IIT Joint)</t>
        </is>
      </c>
      <c r="K102" s="30" t="inlineStr">
        <is>
          <t>m26im1004@iitj.ac.in</t>
        </is>
      </c>
      <c r="L102" s="27" t="inlineStr">
        <is>
          <t>-</t>
        </is>
      </c>
      <c r="M102" s="27" t="n">
        <v>0</v>
      </c>
      <c r="N102" s="30" t="inlineStr">
        <is>
          <t>-</t>
        </is>
      </c>
      <c r="O102" s="27" t="n">
        <v>0</v>
      </c>
      <c r="P102" s="30" t="inlineStr">
        <is>
          <t>-</t>
        </is>
      </c>
      <c r="Q102" s="27" t="n">
        <v>0</v>
      </c>
      <c r="R102" s="30" t="inlineStr">
        <is>
          <t>-</t>
        </is>
      </c>
      <c r="S102" s="27" t="n">
        <v>0</v>
      </c>
      <c r="T102" s="30" t="inlineStr">
        <is>
          <t>-</t>
        </is>
      </c>
      <c r="U102" s="27" t="inlineStr">
        <is>
          <t>-</t>
        </is>
      </c>
      <c r="V102" s="27" t="inlineStr">
        <is>
          <t>-</t>
        </is>
      </c>
      <c r="W102" s="30" t="inlineStr">
        <is>
          <t>Centre for Medical Technologies (IDRP)</t>
        </is>
      </c>
      <c r="X102" s="30" t="inlineStr">
        <is>
          <t>IIT Jodhpur Permanent Campus, NH 62, Karwar</t>
        </is>
      </c>
      <c r="Y102" s="27" t="inlineStr">
        <is>
          <t>Jodhpur</t>
        </is>
      </c>
      <c r="Z102" s="27" t="inlineStr">
        <is>
          <t>Rajasthan</t>
        </is>
      </c>
      <c r="AA102" s="27" t="inlineStr">
        <is>
          <t>342030</t>
        </is>
      </c>
      <c r="AB102" s="30" t="inlineStr">
        <is>
          <t>Official Cohort Registry (IIT Jodhpur MedTech Portal)</t>
        </is>
      </c>
    </row>
    <row r="103" ht="20" customHeight="1">
      <c r="A103" s="21" t="n">
        <v>99</v>
      </c>
      <c r="B103" s="22" t="inlineStr">
        <is>
          <t>M26IM1005</t>
        </is>
      </c>
      <c r="C103" s="23" t="inlineStr">
        <is>
          <t>Eshitaa Panwar</t>
        </is>
      </c>
      <c r="D103" s="21" t="inlineStr">
        <is>
          <t>Masters</t>
        </is>
      </c>
      <c r="E103" s="24" t="inlineStr">
        <is>
          <t>M.Tech in Medical Technology</t>
        </is>
      </c>
      <c r="F103" s="21" t="n">
        <v>2026</v>
      </c>
      <c r="G103" s="21" t="n">
        <v>2028</v>
      </c>
      <c r="H103" s="31" t="inlineStr">
        <is>
          <t>Active</t>
        </is>
      </c>
      <c r="I103" s="24" t="inlineStr">
        <is>
          <t>Medical Technology</t>
        </is>
      </c>
      <c r="J103" s="24" t="inlineStr">
        <is>
          <t>Faculty Board (IDRP / AIIMS-IIT Joint)</t>
        </is>
      </c>
      <c r="K103" s="24" t="inlineStr">
        <is>
          <t>m26im1005@iitj.ac.in</t>
        </is>
      </c>
      <c r="L103" s="21" t="inlineStr">
        <is>
          <t>-</t>
        </is>
      </c>
      <c r="M103" s="21" t="n">
        <v>0</v>
      </c>
      <c r="N103" s="24" t="inlineStr">
        <is>
          <t>-</t>
        </is>
      </c>
      <c r="O103" s="21" t="n">
        <v>0</v>
      </c>
      <c r="P103" s="24" t="inlineStr">
        <is>
          <t>-</t>
        </is>
      </c>
      <c r="Q103" s="21" t="n">
        <v>0</v>
      </c>
      <c r="R103" s="24" t="inlineStr">
        <is>
          <t>-</t>
        </is>
      </c>
      <c r="S103" s="21" t="n">
        <v>0</v>
      </c>
      <c r="T103" s="24" t="inlineStr">
        <is>
          <t>-</t>
        </is>
      </c>
      <c r="U103" s="21" t="inlineStr">
        <is>
          <t>-</t>
        </is>
      </c>
      <c r="V103" s="21" t="inlineStr">
        <is>
          <t>-</t>
        </is>
      </c>
      <c r="W103" s="24" t="inlineStr">
        <is>
          <t>Centre for Medical Technologies (IDRP)</t>
        </is>
      </c>
      <c r="X103" s="24" t="inlineStr">
        <is>
          <t>IIT Jodhpur Permanent Campus, NH 62, Karwar</t>
        </is>
      </c>
      <c r="Y103" s="21" t="inlineStr">
        <is>
          <t>Jodhpur</t>
        </is>
      </c>
      <c r="Z103" s="21" t="inlineStr">
        <is>
          <t>Rajasthan</t>
        </is>
      </c>
      <c r="AA103" s="21" t="inlineStr">
        <is>
          <t>342030</t>
        </is>
      </c>
      <c r="AB103" s="24" t="inlineStr">
        <is>
          <t>Official Cohort Registry (IIT Jodhpur MedTech Portal)</t>
        </is>
      </c>
    </row>
    <row r="104" ht="20" customHeight="1">
      <c r="A104" s="27" t="n">
        <v>100</v>
      </c>
      <c r="B104" s="28" t="inlineStr">
        <is>
          <t>M26IM1006</t>
        </is>
      </c>
      <c r="C104" s="29" t="inlineStr">
        <is>
          <t>Kishore V</t>
        </is>
      </c>
      <c r="D104" s="27" t="inlineStr">
        <is>
          <t>Masters</t>
        </is>
      </c>
      <c r="E104" s="30" t="inlineStr">
        <is>
          <t>M.Tech in Medical Technology</t>
        </is>
      </c>
      <c r="F104" s="27" t="n">
        <v>2026</v>
      </c>
      <c r="G104" s="27" t="n">
        <v>2028</v>
      </c>
      <c r="H104" s="31" t="inlineStr">
        <is>
          <t>Active</t>
        </is>
      </c>
      <c r="I104" s="30" t="inlineStr">
        <is>
          <t>Medical Technology</t>
        </is>
      </c>
      <c r="J104" s="30" t="inlineStr">
        <is>
          <t>Faculty Board (IDRP / AIIMS-IIT Joint)</t>
        </is>
      </c>
      <c r="K104" s="30" t="inlineStr">
        <is>
          <t>m26im1006@iitj.ac.in</t>
        </is>
      </c>
      <c r="L104" s="27" t="inlineStr">
        <is>
          <t>-</t>
        </is>
      </c>
      <c r="M104" s="27" t="n">
        <v>0</v>
      </c>
      <c r="N104" s="30" t="inlineStr">
        <is>
          <t>-</t>
        </is>
      </c>
      <c r="O104" s="27" t="n">
        <v>0</v>
      </c>
      <c r="P104" s="30" t="inlineStr">
        <is>
          <t>-</t>
        </is>
      </c>
      <c r="Q104" s="27" t="n">
        <v>0</v>
      </c>
      <c r="R104" s="30" t="inlineStr">
        <is>
          <t>-</t>
        </is>
      </c>
      <c r="S104" s="27" t="n">
        <v>0</v>
      </c>
      <c r="T104" s="30" t="inlineStr">
        <is>
          <t>-</t>
        </is>
      </c>
      <c r="U104" s="27" t="inlineStr">
        <is>
          <t>-</t>
        </is>
      </c>
      <c r="V104" s="27" t="inlineStr">
        <is>
          <t>-</t>
        </is>
      </c>
      <c r="W104" s="30" t="inlineStr">
        <is>
          <t>Centre for Medical Technologies (IDRP)</t>
        </is>
      </c>
      <c r="X104" s="30" t="inlineStr">
        <is>
          <t>IIT Jodhpur Permanent Campus, NH 62, Karwar</t>
        </is>
      </c>
      <c r="Y104" s="27" t="inlineStr">
        <is>
          <t>Jodhpur</t>
        </is>
      </c>
      <c r="Z104" s="27" t="inlineStr">
        <is>
          <t>Rajasthan</t>
        </is>
      </c>
      <c r="AA104" s="27" t="inlineStr">
        <is>
          <t>342030</t>
        </is>
      </c>
      <c r="AB104" s="30" t="inlineStr">
        <is>
          <t>Official Cohort Registry (IIT Jodhpur MedTech Portal)</t>
        </is>
      </c>
    </row>
    <row r="105" ht="20" customHeight="1">
      <c r="A105" s="21" t="n">
        <v>101</v>
      </c>
      <c r="B105" s="22" t="inlineStr">
        <is>
          <t>M26IM1007</t>
        </is>
      </c>
      <c r="C105" s="23" t="inlineStr">
        <is>
          <t>Mahendra Bishnoi</t>
        </is>
      </c>
      <c r="D105" s="21" t="inlineStr">
        <is>
          <t>Masters</t>
        </is>
      </c>
      <c r="E105" s="24" t="inlineStr">
        <is>
          <t>M.Tech in Medical Technology</t>
        </is>
      </c>
      <c r="F105" s="21" t="n">
        <v>2026</v>
      </c>
      <c r="G105" s="21" t="n">
        <v>2028</v>
      </c>
      <c r="H105" s="31" t="inlineStr">
        <is>
          <t>Active</t>
        </is>
      </c>
      <c r="I105" s="24" t="inlineStr">
        <is>
          <t>Medical Technology</t>
        </is>
      </c>
      <c r="J105" s="24" t="inlineStr">
        <is>
          <t>Faculty Board (IDRP / AIIMS-IIT Joint)</t>
        </is>
      </c>
      <c r="K105" s="24" t="inlineStr">
        <is>
          <t>m26im1007@iitj.ac.in</t>
        </is>
      </c>
      <c r="L105" s="21" t="inlineStr">
        <is>
          <t>-</t>
        </is>
      </c>
      <c r="M105" s="21" t="n">
        <v>0</v>
      </c>
      <c r="N105" s="24" t="inlineStr">
        <is>
          <t>-</t>
        </is>
      </c>
      <c r="O105" s="21" t="n">
        <v>0</v>
      </c>
      <c r="P105" s="24" t="inlineStr">
        <is>
          <t>-</t>
        </is>
      </c>
      <c r="Q105" s="21" t="n">
        <v>0</v>
      </c>
      <c r="R105" s="24" t="inlineStr">
        <is>
          <t>-</t>
        </is>
      </c>
      <c r="S105" s="21" t="n">
        <v>0</v>
      </c>
      <c r="T105" s="24" t="inlineStr">
        <is>
          <t>-</t>
        </is>
      </c>
      <c r="U105" s="21" t="inlineStr">
        <is>
          <t>-</t>
        </is>
      </c>
      <c r="V105" s="21" t="inlineStr">
        <is>
          <t>-</t>
        </is>
      </c>
      <c r="W105" s="24" t="inlineStr">
        <is>
          <t>Centre for Medical Technologies (IDRP)</t>
        </is>
      </c>
      <c r="X105" s="24" t="inlineStr">
        <is>
          <t>IIT Jodhpur Permanent Campus, NH 62, Karwar</t>
        </is>
      </c>
      <c r="Y105" s="21" t="inlineStr">
        <is>
          <t>Jodhpur</t>
        </is>
      </c>
      <c r="Z105" s="21" t="inlineStr">
        <is>
          <t>Rajasthan</t>
        </is>
      </c>
      <c r="AA105" s="21" t="inlineStr">
        <is>
          <t>342030</t>
        </is>
      </c>
      <c r="AB105" s="24" t="inlineStr">
        <is>
          <t>Official Cohort Registry (IIT Jodhpur MedTech Portal)</t>
        </is>
      </c>
    </row>
    <row r="106" ht="20" customHeight="1">
      <c r="A106" s="27" t="n">
        <v>102</v>
      </c>
      <c r="B106" s="28" t="inlineStr">
        <is>
          <t>M26IM1008</t>
        </is>
      </c>
      <c r="C106" s="29" t="inlineStr">
        <is>
          <t>Maheshiv Prajapat</t>
        </is>
      </c>
      <c r="D106" s="27" t="inlineStr">
        <is>
          <t>Masters</t>
        </is>
      </c>
      <c r="E106" s="30" t="inlineStr">
        <is>
          <t>M.Tech in Medical Technology</t>
        </is>
      </c>
      <c r="F106" s="27" t="n">
        <v>2026</v>
      </c>
      <c r="G106" s="27" t="n">
        <v>2028</v>
      </c>
      <c r="H106" s="31" t="inlineStr">
        <is>
          <t>Active</t>
        </is>
      </c>
      <c r="I106" s="30" t="inlineStr">
        <is>
          <t>Medical Technology</t>
        </is>
      </c>
      <c r="J106" s="30" t="inlineStr">
        <is>
          <t>Faculty Board (IDRP / AIIMS-IIT Joint)</t>
        </is>
      </c>
      <c r="K106" s="30" t="inlineStr">
        <is>
          <t>m26im1008@iitj.ac.in</t>
        </is>
      </c>
      <c r="L106" s="27" t="inlineStr">
        <is>
          <t>-</t>
        </is>
      </c>
      <c r="M106" s="27" t="n">
        <v>0</v>
      </c>
      <c r="N106" s="30" t="inlineStr">
        <is>
          <t>-</t>
        </is>
      </c>
      <c r="O106" s="27" t="n">
        <v>0</v>
      </c>
      <c r="P106" s="30" t="inlineStr">
        <is>
          <t>-</t>
        </is>
      </c>
      <c r="Q106" s="27" t="n">
        <v>0</v>
      </c>
      <c r="R106" s="30" t="inlineStr">
        <is>
          <t>-</t>
        </is>
      </c>
      <c r="S106" s="27" t="n">
        <v>0</v>
      </c>
      <c r="T106" s="30" t="inlineStr">
        <is>
          <t>-</t>
        </is>
      </c>
      <c r="U106" s="27" t="inlineStr">
        <is>
          <t>-</t>
        </is>
      </c>
      <c r="V106" s="27" t="inlineStr">
        <is>
          <t>-</t>
        </is>
      </c>
      <c r="W106" s="30" t="inlineStr">
        <is>
          <t>Centre for Medical Technologies (IDRP)</t>
        </is>
      </c>
      <c r="X106" s="30" t="inlineStr">
        <is>
          <t>IIT Jodhpur Permanent Campus, NH 62, Karwar</t>
        </is>
      </c>
      <c r="Y106" s="27" t="inlineStr">
        <is>
          <t>Jodhpur</t>
        </is>
      </c>
      <c r="Z106" s="27" t="inlineStr">
        <is>
          <t>Rajasthan</t>
        </is>
      </c>
      <c r="AA106" s="27" t="inlineStr">
        <is>
          <t>342030</t>
        </is>
      </c>
      <c r="AB106" s="30" t="inlineStr">
        <is>
          <t>Official Cohort Registry (IIT Jodhpur MedTech Portal)</t>
        </is>
      </c>
    </row>
    <row r="107" ht="20" customHeight="1">
      <c r="A107" s="21" t="n">
        <v>103</v>
      </c>
      <c r="B107" s="22" t="inlineStr">
        <is>
          <t>M26IM1009</t>
        </is>
      </c>
      <c r="C107" s="23" t="inlineStr">
        <is>
          <t>Megha Bharadwaj</t>
        </is>
      </c>
      <c r="D107" s="21" t="inlineStr">
        <is>
          <t>Masters</t>
        </is>
      </c>
      <c r="E107" s="24" t="inlineStr">
        <is>
          <t>M.Tech in Medical Technology</t>
        </is>
      </c>
      <c r="F107" s="21" t="n">
        <v>2026</v>
      </c>
      <c r="G107" s="21" t="n">
        <v>2028</v>
      </c>
      <c r="H107" s="31" t="inlineStr">
        <is>
          <t>Active</t>
        </is>
      </c>
      <c r="I107" s="24" t="inlineStr">
        <is>
          <t>Medical Technology</t>
        </is>
      </c>
      <c r="J107" s="24" t="inlineStr">
        <is>
          <t>Faculty Board (IDRP / AIIMS-IIT Joint)</t>
        </is>
      </c>
      <c r="K107" s="24" t="inlineStr">
        <is>
          <t>m26im1009@iitj.ac.in</t>
        </is>
      </c>
      <c r="L107" s="21" t="inlineStr">
        <is>
          <t>-</t>
        </is>
      </c>
      <c r="M107" s="21" t="n">
        <v>0</v>
      </c>
      <c r="N107" s="24" t="inlineStr">
        <is>
          <t>-</t>
        </is>
      </c>
      <c r="O107" s="21" t="n">
        <v>0</v>
      </c>
      <c r="P107" s="24" t="inlineStr">
        <is>
          <t>-</t>
        </is>
      </c>
      <c r="Q107" s="21" t="n">
        <v>0</v>
      </c>
      <c r="R107" s="24" t="inlineStr">
        <is>
          <t>-</t>
        </is>
      </c>
      <c r="S107" s="21" t="n">
        <v>0</v>
      </c>
      <c r="T107" s="24" t="inlineStr">
        <is>
          <t>-</t>
        </is>
      </c>
      <c r="U107" s="21" t="inlineStr">
        <is>
          <t>-</t>
        </is>
      </c>
      <c r="V107" s="21" t="inlineStr">
        <is>
          <t>-</t>
        </is>
      </c>
      <c r="W107" s="24" t="inlineStr">
        <is>
          <t>Centre for Medical Technologies (IDRP)</t>
        </is>
      </c>
      <c r="X107" s="24" t="inlineStr">
        <is>
          <t>IIT Jodhpur Permanent Campus, NH 62, Karwar</t>
        </is>
      </c>
      <c r="Y107" s="21" t="inlineStr">
        <is>
          <t>Jodhpur</t>
        </is>
      </c>
      <c r="Z107" s="21" t="inlineStr">
        <is>
          <t>Rajasthan</t>
        </is>
      </c>
      <c r="AA107" s="21" t="inlineStr">
        <is>
          <t>342030</t>
        </is>
      </c>
      <c r="AB107" s="24" t="inlineStr">
        <is>
          <t>Official Cohort Registry (IIT Jodhpur MedTech Portal)</t>
        </is>
      </c>
    </row>
    <row r="108" ht="20" customHeight="1">
      <c r="A108" s="27" t="n">
        <v>104</v>
      </c>
      <c r="B108" s="28" t="inlineStr">
        <is>
          <t>P26IM0001</t>
        </is>
      </c>
      <c r="C108" s="29" t="inlineStr">
        <is>
          <t>Bhanu Pratap Singh Chauhan</t>
        </is>
      </c>
      <c r="D108" s="27" t="inlineStr">
        <is>
          <t>PhD</t>
        </is>
      </c>
      <c r="E108" s="30" t="inlineStr">
        <is>
          <t>Ph.D. in Medical Technology</t>
        </is>
      </c>
      <c r="F108" s="27" t="n">
        <v>2026</v>
      </c>
      <c r="G108" s="27" t="n">
        <v>2031</v>
      </c>
      <c r="H108" s="31" t="inlineStr">
        <is>
          <t>Active</t>
        </is>
      </c>
      <c r="I108" s="30" t="inlineStr">
        <is>
          <t>Medical Technology</t>
        </is>
      </c>
      <c r="J108" s="30" t="inlineStr">
        <is>
          <t>Faculty Board (IDRP / AIIMS-IIT Joint)</t>
        </is>
      </c>
      <c r="K108" s="30" t="inlineStr">
        <is>
          <t>p26im0001@iitj.ac.in</t>
        </is>
      </c>
      <c r="L108" s="27" t="inlineStr">
        <is>
          <t>-</t>
        </is>
      </c>
      <c r="M108" s="27" t="n">
        <v>0</v>
      </c>
      <c r="N108" s="30" t="inlineStr">
        <is>
          <t>-</t>
        </is>
      </c>
      <c r="O108" s="27" t="n">
        <v>0</v>
      </c>
      <c r="P108" s="30" t="inlineStr">
        <is>
          <t>-</t>
        </is>
      </c>
      <c r="Q108" s="27" t="n">
        <v>0</v>
      </c>
      <c r="R108" s="30" t="inlineStr">
        <is>
          <t>-</t>
        </is>
      </c>
      <c r="S108" s="27" t="n">
        <v>0</v>
      </c>
      <c r="T108" s="30" t="inlineStr">
        <is>
          <t>-</t>
        </is>
      </c>
      <c r="U108" s="27" t="inlineStr">
        <is>
          <t>-</t>
        </is>
      </c>
      <c r="V108" s="27" t="inlineStr">
        <is>
          <t>-</t>
        </is>
      </c>
      <c r="W108" s="30" t="inlineStr">
        <is>
          <t>Centre for Medical Technologies (IDRP)</t>
        </is>
      </c>
      <c r="X108" s="30" t="inlineStr">
        <is>
          <t>IIT Jodhpur Permanent Campus, NH 62, Karwar</t>
        </is>
      </c>
      <c r="Y108" s="27" t="inlineStr">
        <is>
          <t>Jodhpur</t>
        </is>
      </c>
      <c r="Z108" s="27" t="inlineStr">
        <is>
          <t>Rajasthan</t>
        </is>
      </c>
      <c r="AA108" s="27" t="inlineStr">
        <is>
          <t>342030</t>
        </is>
      </c>
      <c r="AB108" s="30" t="inlineStr">
        <is>
          <t>Official Cohort Registry (IIT Jodhpur MedTech Portal)</t>
        </is>
      </c>
    </row>
    <row r="109" ht="20" customHeight="1">
      <c r="A109" s="21" t="n">
        <v>105</v>
      </c>
      <c r="B109" s="22" t="inlineStr">
        <is>
          <t>P26IM0002</t>
        </is>
      </c>
      <c r="C109" s="23" t="inlineStr">
        <is>
          <t>Chahat Bawa</t>
        </is>
      </c>
      <c r="D109" s="21" t="inlineStr">
        <is>
          <t>PhD</t>
        </is>
      </c>
      <c r="E109" s="24" t="inlineStr">
        <is>
          <t>Ph.D. in Medical Technology</t>
        </is>
      </c>
      <c r="F109" s="21" t="n">
        <v>2026</v>
      </c>
      <c r="G109" s="21" t="n">
        <v>2031</v>
      </c>
      <c r="H109" s="31" t="inlineStr">
        <is>
          <t>Active</t>
        </is>
      </c>
      <c r="I109" s="24" t="inlineStr">
        <is>
          <t>Medical Technology</t>
        </is>
      </c>
      <c r="J109" s="24" t="inlineStr">
        <is>
          <t>Faculty Board (IDRP / AIIMS-IIT Joint)</t>
        </is>
      </c>
      <c r="K109" s="24" t="inlineStr">
        <is>
          <t>p26im0002@iitj.ac.in</t>
        </is>
      </c>
      <c r="L109" s="21" t="inlineStr">
        <is>
          <t>-</t>
        </is>
      </c>
      <c r="M109" s="21" t="n">
        <v>0</v>
      </c>
      <c r="N109" s="24" t="inlineStr">
        <is>
          <t>-</t>
        </is>
      </c>
      <c r="O109" s="21" t="n">
        <v>0</v>
      </c>
      <c r="P109" s="24" t="inlineStr">
        <is>
          <t>-</t>
        </is>
      </c>
      <c r="Q109" s="21" t="n">
        <v>0</v>
      </c>
      <c r="R109" s="24" t="inlineStr">
        <is>
          <t>-</t>
        </is>
      </c>
      <c r="S109" s="21" t="n">
        <v>0</v>
      </c>
      <c r="T109" s="24" t="inlineStr">
        <is>
          <t>-</t>
        </is>
      </c>
      <c r="U109" s="21" t="inlineStr">
        <is>
          <t>-</t>
        </is>
      </c>
      <c r="V109" s="21" t="inlineStr">
        <is>
          <t>-</t>
        </is>
      </c>
      <c r="W109" s="24" t="inlineStr">
        <is>
          <t>Centre for Medical Technologies (IDRP)</t>
        </is>
      </c>
      <c r="X109" s="24" t="inlineStr">
        <is>
          <t>IIT Jodhpur Permanent Campus, NH 62, Karwar</t>
        </is>
      </c>
      <c r="Y109" s="21" t="inlineStr">
        <is>
          <t>Jodhpur</t>
        </is>
      </c>
      <c r="Z109" s="21" t="inlineStr">
        <is>
          <t>Rajasthan</t>
        </is>
      </c>
      <c r="AA109" s="21" t="inlineStr">
        <is>
          <t>342030</t>
        </is>
      </c>
      <c r="AB109" s="24" t="inlineStr">
        <is>
          <t>Official Cohort Registry (IIT Jodhpur MedTech Portal)</t>
        </is>
      </c>
    </row>
    <row r="110" ht="20" customHeight="1">
      <c r="A110" s="27" t="n">
        <v>106</v>
      </c>
      <c r="B110" s="28" t="inlineStr">
        <is>
          <t>P26IM0003</t>
        </is>
      </c>
      <c r="C110" s="29" t="inlineStr">
        <is>
          <t>Pooja</t>
        </is>
      </c>
      <c r="D110" s="27" t="inlineStr">
        <is>
          <t>PhD</t>
        </is>
      </c>
      <c r="E110" s="30" t="inlineStr">
        <is>
          <t>Ph.D. in Medical Technology</t>
        </is>
      </c>
      <c r="F110" s="27" t="n">
        <v>2026</v>
      </c>
      <c r="G110" s="27" t="n">
        <v>2031</v>
      </c>
      <c r="H110" s="31" t="inlineStr">
        <is>
          <t>Active</t>
        </is>
      </c>
      <c r="I110" s="30" t="inlineStr">
        <is>
          <t>Medical Technology</t>
        </is>
      </c>
      <c r="J110" s="30" t="inlineStr">
        <is>
          <t>Faculty Board (IDRP / AIIMS-IIT Joint)</t>
        </is>
      </c>
      <c r="K110" s="30" t="inlineStr">
        <is>
          <t>p26im0003@iitj.ac.in</t>
        </is>
      </c>
      <c r="L110" s="27" t="inlineStr">
        <is>
          <t>-</t>
        </is>
      </c>
      <c r="M110" s="27" t="n">
        <v>0</v>
      </c>
      <c r="N110" s="30" t="inlineStr">
        <is>
          <t>-</t>
        </is>
      </c>
      <c r="O110" s="27" t="n">
        <v>0</v>
      </c>
      <c r="P110" s="30" t="inlineStr">
        <is>
          <t>-</t>
        </is>
      </c>
      <c r="Q110" s="27" t="n">
        <v>0</v>
      </c>
      <c r="R110" s="30" t="inlineStr">
        <is>
          <t>-</t>
        </is>
      </c>
      <c r="S110" s="27" t="n">
        <v>0</v>
      </c>
      <c r="T110" s="30" t="inlineStr">
        <is>
          <t>-</t>
        </is>
      </c>
      <c r="U110" s="27" t="inlineStr">
        <is>
          <t>-</t>
        </is>
      </c>
      <c r="V110" s="27" t="inlineStr">
        <is>
          <t>-</t>
        </is>
      </c>
      <c r="W110" s="30" t="inlineStr">
        <is>
          <t>Centre for Medical Technologies (IDRP)</t>
        </is>
      </c>
      <c r="X110" s="30" t="inlineStr">
        <is>
          <t>IIT Jodhpur Permanent Campus, NH 62, Karwar</t>
        </is>
      </c>
      <c r="Y110" s="27" t="inlineStr">
        <is>
          <t>Jodhpur</t>
        </is>
      </c>
      <c r="Z110" s="27" t="inlineStr">
        <is>
          <t>Rajasthan</t>
        </is>
      </c>
      <c r="AA110" s="27" t="inlineStr">
        <is>
          <t>342030</t>
        </is>
      </c>
      <c r="AB110" s="30" t="inlineStr">
        <is>
          <t>Official Cohort Registry (IIT Jodhpur MedTech Portal)</t>
        </is>
      </c>
    </row>
    <row r="111" ht="20" customHeight="1">
      <c r="A111" s="21" t="n">
        <v>107</v>
      </c>
      <c r="B111" s="22" t="inlineStr">
        <is>
          <t>P26IM0004</t>
        </is>
      </c>
      <c r="C111" s="23" t="inlineStr">
        <is>
          <t>Saurabh Yadav</t>
        </is>
      </c>
      <c r="D111" s="21" t="inlineStr">
        <is>
          <t>PhD</t>
        </is>
      </c>
      <c r="E111" s="24" t="inlineStr">
        <is>
          <t>Ph.D. in Medical Technology</t>
        </is>
      </c>
      <c r="F111" s="21" t="n">
        <v>2026</v>
      </c>
      <c r="G111" s="21" t="n">
        <v>2031</v>
      </c>
      <c r="H111" s="31" t="inlineStr">
        <is>
          <t>Active</t>
        </is>
      </c>
      <c r="I111" s="24" t="inlineStr">
        <is>
          <t>Medical Technology</t>
        </is>
      </c>
      <c r="J111" s="24" t="inlineStr">
        <is>
          <t>Faculty Board (IDRP / AIIMS-IIT Joint)</t>
        </is>
      </c>
      <c r="K111" s="24" t="inlineStr">
        <is>
          <t>p26im0004@iitj.ac.in</t>
        </is>
      </c>
      <c r="L111" s="21" t="inlineStr">
        <is>
          <t>-</t>
        </is>
      </c>
      <c r="M111" s="21" t="n">
        <v>0</v>
      </c>
      <c r="N111" s="24" t="inlineStr">
        <is>
          <t>-</t>
        </is>
      </c>
      <c r="O111" s="21" t="n">
        <v>0</v>
      </c>
      <c r="P111" s="24" t="inlineStr">
        <is>
          <t>-</t>
        </is>
      </c>
      <c r="Q111" s="21" t="n">
        <v>0</v>
      </c>
      <c r="R111" s="24" t="inlineStr">
        <is>
          <t>-</t>
        </is>
      </c>
      <c r="S111" s="21" t="n">
        <v>0</v>
      </c>
      <c r="T111" s="24" t="inlineStr">
        <is>
          <t>-</t>
        </is>
      </c>
      <c r="U111" s="21" t="inlineStr">
        <is>
          <t>-</t>
        </is>
      </c>
      <c r="V111" s="21" t="inlineStr">
        <is>
          <t>-</t>
        </is>
      </c>
      <c r="W111" s="24" t="inlineStr">
        <is>
          <t>Centre for Medical Technologies (IDRP)</t>
        </is>
      </c>
      <c r="X111" s="24" t="inlineStr">
        <is>
          <t>IIT Jodhpur Permanent Campus, NH 62, Karwar</t>
        </is>
      </c>
      <c r="Y111" s="21" t="inlineStr">
        <is>
          <t>Jodhpur</t>
        </is>
      </c>
      <c r="Z111" s="21" t="inlineStr">
        <is>
          <t>Rajasthan</t>
        </is>
      </c>
      <c r="AA111" s="21" t="inlineStr">
        <is>
          <t>342030</t>
        </is>
      </c>
      <c r="AB111" s="24" t="inlineStr">
        <is>
          <t>Official Cohort Registry (IIT Jodhpur MedTech Portal)</t>
        </is>
      </c>
    </row>
  </sheetData>
  <autoFilter ref="A4:AB111"/>
  <mergeCells count="2">
    <mergeCell ref="A2:AB2"/>
    <mergeCell ref="A1:A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56"/>
  <sheetViews>
    <sheetView showGridLines="1" workbookViewId="0">
      <pane xSplit="3" ySplit="4" topLeftCell="D5" activePane="bottomRight" state="frozen"/>
      <selection pane="topRight"/>
      <selection pane="bottomLeft"/>
      <selection pane="bottomRight" activeCell="A1" sqref="A1"/>
    </sheetView>
  </sheetViews>
  <sheetFormatPr baseColWidth="8" defaultRowHeight="15"/>
  <cols>
    <col width="8" customWidth="1" min="1" max="1"/>
    <col width="15" customWidth="1" min="2" max="2"/>
    <col width="26" customWidth="1" min="3" max="3"/>
    <col width="14" customWidth="1" min="4" max="4"/>
    <col width="34" customWidth="1" min="5" max="5"/>
    <col width="13" customWidth="1" min="6" max="6"/>
    <col width="16" customWidth="1" min="7" max="7"/>
    <col width="15" customWidth="1" min="8" max="8"/>
    <col width="36" customWidth="1" min="9" max="9"/>
    <col width="38" customWidth="1" min="10" max="10"/>
    <col width="28" customWidth="1" min="11" max="11"/>
    <col width="16" customWidth="1" min="12" max="12"/>
    <col width="18" customWidth="1" min="13" max="13"/>
    <col width="42" customWidth="1" min="14" max="14"/>
    <col width="15" customWidth="1" min="15" max="15"/>
    <col width="42" customWidth="1" min="16" max="16"/>
    <col width="15" customWidth="1" min="17" max="17"/>
    <col width="40" customWidth="1" min="18" max="18"/>
    <col width="15" customWidth="1" min="19" max="19"/>
    <col width="35" customWidth="1" min="20" max="20"/>
    <col width="14" customWidth="1" min="21" max="21"/>
    <col width="10" customWidth="1" min="22" max="22"/>
    <col width="32" customWidth="1" min="23" max="23"/>
    <col width="36" customWidth="1" min="24" max="24"/>
    <col width="12" customWidth="1" min="25" max="25"/>
    <col width="12" customWidth="1" min="26" max="26"/>
    <col width="10" customWidth="1" min="27" max="27"/>
    <col width="38" customWidth="1" min="28" max="28"/>
  </cols>
  <sheetData>
    <row r="1" ht="32" customHeight="1">
      <c r="A1" s="1" t="inlineStr">
        <is>
          <t>CENTRE FOR MEDICAL TECHNOLOGIES (IDRP) | IIT JODHPUR &amp; AIIMS JODHPUR</t>
        </is>
      </c>
    </row>
    <row r="2" ht="18" customHeight="1">
      <c r="A2" s="2" t="inlineStr">
        <is>
          <t>M.Tech in Medical Technology — Complete Register of All 52 Masters Scholars (2020 – 2026 Batches)</t>
        </is>
      </c>
    </row>
    <row r="3" ht="8" customHeight="1"/>
    <row r="4" ht="26" customHeight="1">
      <c r="A4" s="7" t="inlineStr">
        <is>
          <t>S.No.</t>
        </is>
      </c>
      <c r="B4" s="7" t="inlineStr">
        <is>
          <t>Roll Number</t>
        </is>
      </c>
      <c r="C4" s="7" t="inlineStr">
        <is>
          <t>Student Scholar Name</t>
        </is>
      </c>
      <c r="D4" s="7" t="inlineStr">
        <is>
          <t>Program Level</t>
        </is>
      </c>
      <c r="E4" s="7" t="inlineStr">
        <is>
          <t>Degree Program</t>
        </is>
      </c>
      <c r="F4" s="7" t="inlineStr">
        <is>
          <t>Cohort Year</t>
        </is>
      </c>
      <c r="G4" s="7" t="inlineStr">
        <is>
          <t>Graduation Year</t>
        </is>
      </c>
      <c r="H4" s="7" t="inlineStr">
        <is>
          <t>Academic Status</t>
        </is>
      </c>
      <c r="I4" s="7" t="inlineStr">
        <is>
          <t>Specialization &amp; Research Focus</t>
        </is>
      </c>
      <c r="J4" s="7" t="inlineStr">
        <is>
          <t>Faculty Supervisor(s) (IIT &amp; AIIMS)</t>
        </is>
      </c>
      <c r="K4" s="7" t="inlineStr">
        <is>
          <t>Institutional Email</t>
        </is>
      </c>
      <c r="L4" s="7" t="inlineStr">
        <is>
          <t>Contact Phone</t>
        </is>
      </c>
      <c r="M4" s="7" t="inlineStr">
        <is>
          <t>Publications (Count)</t>
        </is>
      </c>
      <c r="N4" s="7" t="inlineStr">
        <is>
          <t>Publication Venues &amp; Papers</t>
        </is>
      </c>
      <c r="O4" s="7" t="inlineStr">
        <is>
          <t>Patents (Count)</t>
        </is>
      </c>
      <c r="P4" s="7" t="inlineStr">
        <is>
          <t>Patent Filings &amp; Application Nos.</t>
        </is>
      </c>
      <c r="Q4" s="7" t="inlineStr">
        <is>
          <t>Startups (Count)</t>
        </is>
      </c>
      <c r="R4" s="7" t="inlineStr">
        <is>
          <t>Startup Ventures &amp; Student Roles</t>
        </is>
      </c>
      <c r="S4" s="7" t="inlineStr">
        <is>
          <t>Awards (Count)</t>
        </is>
      </c>
      <c r="T4" s="7" t="inlineStr">
        <is>
          <t>Awards, Honors &amp; Hackathon Wins</t>
        </is>
      </c>
      <c r="U4" s="7" t="inlineStr">
        <is>
          <t>Date of Birth</t>
        </is>
      </c>
      <c r="V4" s="7" t="inlineStr">
        <is>
          <t>Gender</t>
        </is>
      </c>
      <c r="W4" s="7" t="inlineStr">
        <is>
          <t>Department / Centre</t>
        </is>
      </c>
      <c r="X4" s="7" t="inlineStr">
        <is>
          <t>Campus / Residential Address</t>
        </is>
      </c>
      <c r="Y4" s="7" t="inlineStr">
        <is>
          <t>City</t>
        </is>
      </c>
      <c r="Z4" s="7" t="inlineStr">
        <is>
          <t>State</t>
        </is>
      </c>
      <c r="AA4" s="7" t="inlineStr">
        <is>
          <t>Pincode</t>
        </is>
      </c>
      <c r="AB4" s="7" t="inlineStr">
        <is>
          <t>Verification Source URL / Provenance</t>
        </is>
      </c>
    </row>
    <row r="5" ht="20" customHeight="1">
      <c r="A5" s="21" t="n">
        <v>1</v>
      </c>
      <c r="B5" s="22" t="inlineStr">
        <is>
          <t>M20ID001</t>
        </is>
      </c>
      <c r="C5" s="23" t="inlineStr">
        <is>
          <t>Anup Kamal Kakwani</t>
        </is>
      </c>
      <c r="D5" s="21" t="inlineStr">
        <is>
          <t>Masters</t>
        </is>
      </c>
      <c r="E5" s="24" t="inlineStr">
        <is>
          <t>M.Tech in Medical Technology</t>
        </is>
      </c>
      <c r="F5" s="21" t="n">
        <v>2020</v>
      </c>
      <c r="G5" s="21" t="n">
        <v>2022</v>
      </c>
      <c r="H5" s="25" t="inlineStr">
        <is>
          <t>Alumni</t>
        </is>
      </c>
      <c r="I5" s="24" t="inlineStr">
        <is>
          <t>Endodontics &amp; Dental Irrigation Systems</t>
        </is>
      </c>
      <c r="J5" s="24" t="inlineStr">
        <is>
          <t>Dr. Pravin Kumar (AIIMS Jodhpur) &amp; Dr. Jaiveer Singh (IIT Jodhpur)</t>
        </is>
      </c>
      <c r="K5" s="24" t="inlineStr">
        <is>
          <t>m20id001@iitj.ac.in</t>
        </is>
      </c>
      <c r="L5" s="21" t="inlineStr">
        <is>
          <t>-</t>
        </is>
      </c>
      <c r="M5" s="21" t="n">
        <v>0</v>
      </c>
      <c r="N5" s="24" t="inlineStr">
        <is>
          <t>-</t>
        </is>
      </c>
      <c r="O5" s="26" t="n">
        <v>1</v>
      </c>
      <c r="P5" s="24" t="inlineStr">
        <is>
          <t>App #202211041593: A Cost Effective and User Friendly System to Irrigate Root Canal Under Apical Negative Pressure (Published) | App 202211041593: Root Canal Irrigation System Under Apical Negative Pressure</t>
        </is>
      </c>
      <c r="Q5" s="26" t="n">
        <v>1</v>
      </c>
      <c r="R5" s="24" t="inlineStr">
        <is>
          <t>NxGen Healtech Pvt. Ltd. (Founder &amp; Managing Director, Pre-Incubatee) | NxGen Healtech Pvt. Ltd. (Founder)</t>
        </is>
      </c>
      <c r="S5" s="21" t="n">
        <v>0</v>
      </c>
      <c r="T5" s="24" t="inlineStr">
        <is>
          <t>-</t>
        </is>
      </c>
      <c r="U5" s="21" t="inlineStr">
        <is>
          <t>-</t>
        </is>
      </c>
      <c r="V5" s="21" t="inlineStr">
        <is>
          <t>-</t>
        </is>
      </c>
      <c r="W5" s="24" t="inlineStr">
        <is>
          <t>Centre for Medical Technologies (IDRP)</t>
        </is>
      </c>
      <c r="X5" s="24" t="inlineStr">
        <is>
          <t>IIT Jodhpur Permanent Campus, NH 62, Karwar</t>
        </is>
      </c>
      <c r="Y5" s="21" t="inlineStr">
        <is>
          <t>Jodhpur</t>
        </is>
      </c>
      <c r="Z5" s="21" t="inlineStr">
        <is>
          <t>Rajasthan</t>
        </is>
      </c>
      <c r="AA5" s="21" t="inlineStr">
        <is>
          <t>342030</t>
        </is>
      </c>
      <c r="AB5" s="24" t="inlineStr">
        <is>
          <t>Official Cohort Registry (IIT Jodhpur MedTech Portal)</t>
        </is>
      </c>
    </row>
    <row r="6" ht="20" customHeight="1">
      <c r="A6" s="27" t="n">
        <v>2</v>
      </c>
      <c r="B6" s="28" t="inlineStr">
        <is>
          <t>M20ID002</t>
        </is>
      </c>
      <c r="C6" s="29" t="inlineStr">
        <is>
          <t>Anushri Bhardwaj</t>
        </is>
      </c>
      <c r="D6" s="27" t="inlineStr">
        <is>
          <t>Masters</t>
        </is>
      </c>
      <c r="E6" s="30" t="inlineStr">
        <is>
          <t>M.Tech in Medical Technology</t>
        </is>
      </c>
      <c r="F6" s="27" t="n">
        <v>2020</v>
      </c>
      <c r="G6" s="27" t="n">
        <v>2022</v>
      </c>
      <c r="H6" s="25" t="inlineStr">
        <is>
          <t>Alumni</t>
        </is>
      </c>
      <c r="I6" s="30" t="inlineStr">
        <is>
          <t>Medical Technology</t>
        </is>
      </c>
      <c r="J6" s="30" t="inlineStr">
        <is>
          <t>Faculty Board (IDRP / AIIMS-IIT Joint)</t>
        </is>
      </c>
      <c r="K6" s="30" t="inlineStr">
        <is>
          <t>m20id002@iitj.ac.in</t>
        </is>
      </c>
      <c r="L6" s="27" t="inlineStr">
        <is>
          <t>-</t>
        </is>
      </c>
      <c r="M6" s="27" t="n">
        <v>0</v>
      </c>
      <c r="N6" s="30" t="inlineStr">
        <is>
          <t>-</t>
        </is>
      </c>
      <c r="O6" s="27" t="n">
        <v>0</v>
      </c>
      <c r="P6" s="30" t="inlineStr">
        <is>
          <t>-</t>
        </is>
      </c>
      <c r="Q6" s="27" t="n">
        <v>0</v>
      </c>
      <c r="R6" s="30" t="inlineStr">
        <is>
          <t>-</t>
        </is>
      </c>
      <c r="S6" s="27" t="n">
        <v>0</v>
      </c>
      <c r="T6" s="30" t="inlineStr">
        <is>
          <t>-</t>
        </is>
      </c>
      <c r="U6" s="27" t="inlineStr">
        <is>
          <t>-</t>
        </is>
      </c>
      <c r="V6" s="27" t="inlineStr">
        <is>
          <t>-</t>
        </is>
      </c>
      <c r="W6" s="30" t="inlineStr">
        <is>
          <t>Centre for Medical Technologies (IDRP)</t>
        </is>
      </c>
      <c r="X6" s="30" t="inlineStr">
        <is>
          <t>IIT Jodhpur Permanent Campus, NH 62, Karwar</t>
        </is>
      </c>
      <c r="Y6" s="27" t="inlineStr">
        <is>
          <t>Jodhpur</t>
        </is>
      </c>
      <c r="Z6" s="27" t="inlineStr">
        <is>
          <t>Rajasthan</t>
        </is>
      </c>
      <c r="AA6" s="27" t="inlineStr">
        <is>
          <t>342030</t>
        </is>
      </c>
      <c r="AB6" s="30" t="inlineStr">
        <is>
          <t>Official Cohort Registry (IIT Jodhpur MedTech Portal)</t>
        </is>
      </c>
    </row>
    <row r="7" ht="20" customHeight="1">
      <c r="A7" s="21" t="n">
        <v>3</v>
      </c>
      <c r="B7" s="22" t="inlineStr">
        <is>
          <t>M20ID004</t>
        </is>
      </c>
      <c r="C7" s="23" t="inlineStr">
        <is>
          <t>Mridul Sharma</t>
        </is>
      </c>
      <c r="D7" s="21" t="inlineStr">
        <is>
          <t>Masters</t>
        </is>
      </c>
      <c r="E7" s="24" t="inlineStr">
        <is>
          <t>M.Tech in Medical Technology</t>
        </is>
      </c>
      <c r="F7" s="21" t="n">
        <v>2020</v>
      </c>
      <c r="G7" s="21" t="n">
        <v>2022</v>
      </c>
      <c r="H7" s="25" t="inlineStr">
        <is>
          <t>Alumni</t>
        </is>
      </c>
      <c r="I7" s="24" t="inlineStr">
        <is>
          <t>Medical Technology</t>
        </is>
      </c>
      <c r="J7" s="24" t="inlineStr">
        <is>
          <t>Faculty Board (IDRP / AIIMS-IIT Joint)</t>
        </is>
      </c>
      <c r="K7" s="24" t="inlineStr">
        <is>
          <t>m20id004@iitj.ac.in</t>
        </is>
      </c>
      <c r="L7" s="21" t="inlineStr">
        <is>
          <t>-</t>
        </is>
      </c>
      <c r="M7" s="21" t="n">
        <v>0</v>
      </c>
      <c r="N7" s="24" t="inlineStr">
        <is>
          <t>-</t>
        </is>
      </c>
      <c r="O7" s="21" t="n">
        <v>0</v>
      </c>
      <c r="P7" s="24" t="inlineStr">
        <is>
          <t>-</t>
        </is>
      </c>
      <c r="Q7" s="21" t="n">
        <v>0</v>
      </c>
      <c r="R7" s="24" t="inlineStr">
        <is>
          <t>-</t>
        </is>
      </c>
      <c r="S7" s="21" t="n">
        <v>0</v>
      </c>
      <c r="T7" s="24" t="inlineStr">
        <is>
          <t>-</t>
        </is>
      </c>
      <c r="U7" s="21" t="inlineStr">
        <is>
          <t>-</t>
        </is>
      </c>
      <c r="V7" s="21" t="inlineStr">
        <is>
          <t>-</t>
        </is>
      </c>
      <c r="W7" s="24" t="inlineStr">
        <is>
          <t>Centre for Medical Technologies (IDRP)</t>
        </is>
      </c>
      <c r="X7" s="24" t="inlineStr">
        <is>
          <t>IIT Jodhpur Permanent Campus, NH 62, Karwar</t>
        </is>
      </c>
      <c r="Y7" s="21" t="inlineStr">
        <is>
          <t>Jodhpur</t>
        </is>
      </c>
      <c r="Z7" s="21" t="inlineStr">
        <is>
          <t>Rajasthan</t>
        </is>
      </c>
      <c r="AA7" s="21" t="inlineStr">
        <is>
          <t>342030</t>
        </is>
      </c>
      <c r="AB7" s="24" t="inlineStr">
        <is>
          <t>Official Cohort Registry (IIT Jodhpur MedTech Portal)</t>
        </is>
      </c>
    </row>
    <row r="8" ht="20" customHeight="1">
      <c r="A8" s="27" t="n">
        <v>4</v>
      </c>
      <c r="B8" s="28" t="inlineStr">
        <is>
          <t>M20ID005</t>
        </is>
      </c>
      <c r="C8" s="29" t="inlineStr">
        <is>
          <t>Shradha Suman Panda</t>
        </is>
      </c>
      <c r="D8" s="27" t="inlineStr">
        <is>
          <t>Masters</t>
        </is>
      </c>
      <c r="E8" s="30" t="inlineStr">
        <is>
          <t>M.Tech in Medical Technology</t>
        </is>
      </c>
      <c r="F8" s="27" t="n">
        <v>2020</v>
      </c>
      <c r="G8" s="27" t="n">
        <v>2022</v>
      </c>
      <c r="H8" s="25" t="inlineStr">
        <is>
          <t>Alumni</t>
        </is>
      </c>
      <c r="I8" s="30" t="inlineStr">
        <is>
          <t>Medical Technology</t>
        </is>
      </c>
      <c r="J8" s="30" t="inlineStr">
        <is>
          <t>Faculty Board (IDRP / AIIMS-IIT Joint)</t>
        </is>
      </c>
      <c r="K8" s="30" t="inlineStr">
        <is>
          <t>m20id005@iitj.ac.in</t>
        </is>
      </c>
      <c r="L8" s="27" t="inlineStr">
        <is>
          <t>-</t>
        </is>
      </c>
      <c r="M8" s="27" t="n">
        <v>0</v>
      </c>
      <c r="N8" s="30" t="inlineStr">
        <is>
          <t>-</t>
        </is>
      </c>
      <c r="O8" s="27" t="n">
        <v>0</v>
      </c>
      <c r="P8" s="30" t="inlineStr">
        <is>
          <t>-</t>
        </is>
      </c>
      <c r="Q8" s="27" t="n">
        <v>0</v>
      </c>
      <c r="R8" s="30" t="inlineStr">
        <is>
          <t>-</t>
        </is>
      </c>
      <c r="S8" s="27" t="n">
        <v>0</v>
      </c>
      <c r="T8" s="30" t="inlineStr">
        <is>
          <t>-</t>
        </is>
      </c>
      <c r="U8" s="27" t="inlineStr">
        <is>
          <t>-</t>
        </is>
      </c>
      <c r="V8" s="27" t="inlineStr">
        <is>
          <t>-</t>
        </is>
      </c>
      <c r="W8" s="30" t="inlineStr">
        <is>
          <t>Centre for Medical Technologies (IDRP)</t>
        </is>
      </c>
      <c r="X8" s="30" t="inlineStr">
        <is>
          <t>IIT Jodhpur Permanent Campus, NH 62, Karwar</t>
        </is>
      </c>
      <c r="Y8" s="27" t="inlineStr">
        <is>
          <t>Jodhpur</t>
        </is>
      </c>
      <c r="Z8" s="27" t="inlineStr">
        <is>
          <t>Rajasthan</t>
        </is>
      </c>
      <c r="AA8" s="27" t="inlineStr">
        <is>
          <t>342030</t>
        </is>
      </c>
      <c r="AB8" s="30" t="inlineStr">
        <is>
          <t>Official Cohort Registry (IIT Jodhpur MedTech Portal)</t>
        </is>
      </c>
    </row>
    <row r="9" ht="20" customHeight="1">
      <c r="A9" s="21" t="n">
        <v>5</v>
      </c>
      <c r="B9" s="22" t="inlineStr">
        <is>
          <t>M20ID008</t>
        </is>
      </c>
      <c r="C9" s="23" t="inlineStr">
        <is>
          <t>Thilak Chakaravarthi E</t>
        </is>
      </c>
      <c r="D9" s="21" t="inlineStr">
        <is>
          <t>Masters</t>
        </is>
      </c>
      <c r="E9" s="24" t="inlineStr">
        <is>
          <t>M.Tech in Medical Technology</t>
        </is>
      </c>
      <c r="F9" s="21" t="n">
        <v>2020</v>
      </c>
      <c r="G9" s="21" t="n">
        <v>2022</v>
      </c>
      <c r="H9" s="25" t="inlineStr">
        <is>
          <t>Alumni</t>
        </is>
      </c>
      <c r="I9" s="24" t="inlineStr">
        <is>
          <t>Electromechanical Cartilage Reshaping &amp; Bio-MEMS</t>
        </is>
      </c>
      <c r="J9" s="24" t="inlineStr">
        <is>
          <t>Prof. Ajay Agarwal (IIT Jodhpur)</t>
        </is>
      </c>
      <c r="K9" s="24" t="inlineStr">
        <is>
          <t>m20id008@iitj.ac.in</t>
        </is>
      </c>
      <c r="L9" s="21" t="inlineStr">
        <is>
          <t>-</t>
        </is>
      </c>
      <c r="M9" s="21" t="n">
        <v>0</v>
      </c>
      <c r="N9" s="24" t="inlineStr">
        <is>
          <t>-</t>
        </is>
      </c>
      <c r="O9" s="21" t="n">
        <v>0</v>
      </c>
      <c r="P9" s="24" t="inlineStr">
        <is>
          <t>-</t>
        </is>
      </c>
      <c r="Q9" s="26" t="n">
        <v>1</v>
      </c>
      <c r="R9" s="24" t="inlineStr">
        <is>
          <t>Caldor Health Technologies Pvt. Ltd. (Co-Founder)</t>
        </is>
      </c>
      <c r="S9" s="26" t="n">
        <v>2</v>
      </c>
      <c r="T9" s="24" t="inlineStr">
        <is>
          <t>US$100,000 raised for SWASAM ; MSME grant</t>
        </is>
      </c>
      <c r="U9" s="21" t="inlineStr">
        <is>
          <t>-</t>
        </is>
      </c>
      <c r="V9" s="21" t="inlineStr">
        <is>
          <t>-</t>
        </is>
      </c>
      <c r="W9" s="24" t="inlineStr">
        <is>
          <t>Centre for Medical Technologies (IDRP)</t>
        </is>
      </c>
      <c r="X9" s="24" t="inlineStr">
        <is>
          <t>IIT Jodhpur Permanent Campus, NH 62, Karwar</t>
        </is>
      </c>
      <c r="Y9" s="21" t="inlineStr">
        <is>
          <t>Jodhpur</t>
        </is>
      </c>
      <c r="Z9" s="21" t="inlineStr">
        <is>
          <t>Rajasthan</t>
        </is>
      </c>
      <c r="AA9" s="21" t="inlineStr">
        <is>
          <t>342030</t>
        </is>
      </c>
      <c r="AB9" s="24" t="inlineStr">
        <is>
          <t>Official Cohort Registry (IIT Jodhpur MedTech Portal)</t>
        </is>
      </c>
    </row>
    <row r="10" ht="20" customHeight="1">
      <c r="A10" s="27" t="n">
        <v>6</v>
      </c>
      <c r="B10" s="28" t="inlineStr">
        <is>
          <t>M20ID009</t>
        </is>
      </c>
      <c r="C10" s="29" t="inlineStr">
        <is>
          <t>Rajshree</t>
        </is>
      </c>
      <c r="D10" s="27" t="inlineStr">
        <is>
          <t>Masters</t>
        </is>
      </c>
      <c r="E10" s="30" t="inlineStr">
        <is>
          <t>M.Tech in Medical Technology</t>
        </is>
      </c>
      <c r="F10" s="27" t="n">
        <v>2020</v>
      </c>
      <c r="G10" s="27" t="n">
        <v>2022</v>
      </c>
      <c r="H10" s="25" t="inlineStr">
        <is>
          <t>Alumni</t>
        </is>
      </c>
      <c r="I10" s="30" t="inlineStr">
        <is>
          <t>Medical Technology</t>
        </is>
      </c>
      <c r="J10" s="30" t="inlineStr">
        <is>
          <t>Faculty Board (IDRP / AIIMS-IIT Joint)</t>
        </is>
      </c>
      <c r="K10" s="30" t="inlineStr">
        <is>
          <t>m20id009@iitj.ac.in</t>
        </is>
      </c>
      <c r="L10" s="27" t="inlineStr">
        <is>
          <t>-</t>
        </is>
      </c>
      <c r="M10" s="27" t="n">
        <v>0</v>
      </c>
      <c r="N10" s="30" t="inlineStr">
        <is>
          <t>-</t>
        </is>
      </c>
      <c r="O10" s="27" t="n">
        <v>0</v>
      </c>
      <c r="P10" s="30" t="inlineStr">
        <is>
          <t>-</t>
        </is>
      </c>
      <c r="Q10" s="27" t="n">
        <v>0</v>
      </c>
      <c r="R10" s="30" t="inlineStr">
        <is>
          <t>-</t>
        </is>
      </c>
      <c r="S10" s="27" t="n">
        <v>0</v>
      </c>
      <c r="T10" s="30" t="inlineStr">
        <is>
          <t>-</t>
        </is>
      </c>
      <c r="U10" s="27" t="inlineStr">
        <is>
          <t>-</t>
        </is>
      </c>
      <c r="V10" s="27" t="inlineStr">
        <is>
          <t>-</t>
        </is>
      </c>
      <c r="W10" s="30" t="inlineStr">
        <is>
          <t>Centre for Medical Technologies (IDRP)</t>
        </is>
      </c>
      <c r="X10" s="30" t="inlineStr">
        <is>
          <t>IIT Jodhpur Permanent Campus, NH 62, Karwar</t>
        </is>
      </c>
      <c r="Y10" s="27" t="inlineStr">
        <is>
          <t>Jodhpur</t>
        </is>
      </c>
      <c r="Z10" s="27" t="inlineStr">
        <is>
          <t>Rajasthan</t>
        </is>
      </c>
      <c r="AA10" s="27" t="inlineStr">
        <is>
          <t>342030</t>
        </is>
      </c>
      <c r="AB10" s="30" t="inlineStr">
        <is>
          <t>Official Cohort Registry (IIT Jodhpur MedTech Portal)</t>
        </is>
      </c>
    </row>
    <row r="11" ht="20" customHeight="1">
      <c r="A11" s="21" t="n">
        <v>7</v>
      </c>
      <c r="B11" s="22" t="inlineStr">
        <is>
          <t>M21ID001</t>
        </is>
      </c>
      <c r="C11" s="23" t="inlineStr">
        <is>
          <t>Ajisha Ck</t>
        </is>
      </c>
      <c r="D11" s="21" t="inlineStr">
        <is>
          <t>Masters</t>
        </is>
      </c>
      <c r="E11" s="24" t="inlineStr">
        <is>
          <t>M.Tech in Medical Technology</t>
        </is>
      </c>
      <c r="F11" s="21" t="n">
        <v>2021</v>
      </c>
      <c r="G11" s="21" t="n">
        <v>2023</v>
      </c>
      <c r="H11" s="25" t="inlineStr">
        <is>
          <t>Alumni</t>
        </is>
      </c>
      <c r="I11" s="24" t="inlineStr">
        <is>
          <t>Medical Technology</t>
        </is>
      </c>
      <c r="J11" s="24" t="inlineStr">
        <is>
          <t>Faculty Board (IDRP / AIIMS-IIT Joint)</t>
        </is>
      </c>
      <c r="K11" s="24" t="inlineStr">
        <is>
          <t>m21id001@iitj.ac.in</t>
        </is>
      </c>
      <c r="L11" s="21" t="inlineStr">
        <is>
          <t>-</t>
        </is>
      </c>
      <c r="M11" s="21" t="n">
        <v>0</v>
      </c>
      <c r="N11" s="24" t="inlineStr">
        <is>
          <t>-</t>
        </is>
      </c>
      <c r="O11" s="21" t="n">
        <v>0</v>
      </c>
      <c r="P11" s="24" t="inlineStr">
        <is>
          <t>-</t>
        </is>
      </c>
      <c r="Q11" s="21" t="n">
        <v>0</v>
      </c>
      <c r="R11" s="24" t="inlineStr">
        <is>
          <t>-</t>
        </is>
      </c>
      <c r="S11" s="21" t="n">
        <v>0</v>
      </c>
      <c r="T11" s="24" t="inlineStr">
        <is>
          <t>-</t>
        </is>
      </c>
      <c r="U11" s="21" t="inlineStr">
        <is>
          <t>-</t>
        </is>
      </c>
      <c r="V11" s="21" t="inlineStr">
        <is>
          <t>-</t>
        </is>
      </c>
      <c r="W11" s="24" t="inlineStr">
        <is>
          <t>Centre for Medical Technologies (IDRP)</t>
        </is>
      </c>
      <c r="X11" s="24" t="inlineStr">
        <is>
          <t>IIT Jodhpur Permanent Campus, NH 62, Karwar</t>
        </is>
      </c>
      <c r="Y11" s="21" t="inlineStr">
        <is>
          <t>Jodhpur</t>
        </is>
      </c>
      <c r="Z11" s="21" t="inlineStr">
        <is>
          <t>Rajasthan</t>
        </is>
      </c>
      <c r="AA11" s="21" t="inlineStr">
        <is>
          <t>342030</t>
        </is>
      </c>
      <c r="AB11" s="24" t="inlineStr">
        <is>
          <t>Official Cohort Registry (IIT Jodhpur MedTech Portal)</t>
        </is>
      </c>
    </row>
    <row r="12" ht="20" customHeight="1">
      <c r="A12" s="27" t="n">
        <v>8</v>
      </c>
      <c r="B12" s="28" t="inlineStr">
        <is>
          <t>M21ID002</t>
        </is>
      </c>
      <c r="C12" s="29" t="inlineStr">
        <is>
          <t>Ajmal Jaleel</t>
        </is>
      </c>
      <c r="D12" s="27" t="inlineStr">
        <is>
          <t>Masters</t>
        </is>
      </c>
      <c r="E12" s="30" t="inlineStr">
        <is>
          <t>M.Tech in Medical Technology</t>
        </is>
      </c>
      <c r="F12" s="27" t="n">
        <v>2021</v>
      </c>
      <c r="G12" s="27" t="n">
        <v>2023</v>
      </c>
      <c r="H12" s="25" t="inlineStr">
        <is>
          <t>Alumni</t>
        </is>
      </c>
      <c r="I12" s="30" t="inlineStr">
        <is>
          <t>Surgical Ergonomics &amp; Mattress Hygiene Management Systems</t>
        </is>
      </c>
      <c r="J12" s="30" t="inlineStr">
        <is>
          <t>Dr. Jayant Kumar Mohanta (IIT Jodhpur)</t>
        </is>
      </c>
      <c r="K12" s="30" t="inlineStr">
        <is>
          <t>m21id002@iitj.ac.in</t>
        </is>
      </c>
      <c r="L12" s="27" t="inlineStr">
        <is>
          <t>-</t>
        </is>
      </c>
      <c r="M12" s="27" t="n">
        <v>0</v>
      </c>
      <c r="N12" s="30" t="inlineStr">
        <is>
          <t>-</t>
        </is>
      </c>
      <c r="O12" s="27" t="n">
        <v>0</v>
      </c>
      <c r="P12" s="30" t="inlineStr">
        <is>
          <t>-</t>
        </is>
      </c>
      <c r="Q12" s="26" t="n">
        <v>1</v>
      </c>
      <c r="R12" s="30" t="inlineStr">
        <is>
          <t>ShilpinMed Technologies Pvt. Ltd. (Founder)</t>
        </is>
      </c>
      <c r="S12" s="27" t="n">
        <v>0</v>
      </c>
      <c r="T12" s="30" t="inlineStr">
        <is>
          <t>-</t>
        </is>
      </c>
      <c r="U12" s="27" t="inlineStr">
        <is>
          <t>-</t>
        </is>
      </c>
      <c r="V12" s="27" t="inlineStr">
        <is>
          <t>-</t>
        </is>
      </c>
      <c r="W12" s="30" t="inlineStr">
        <is>
          <t>Centre for Medical Technologies (IDRP)</t>
        </is>
      </c>
      <c r="X12" s="30" t="inlineStr">
        <is>
          <t>IIT Jodhpur Permanent Campus, NH 62, Karwar</t>
        </is>
      </c>
      <c r="Y12" s="27" t="inlineStr">
        <is>
          <t>Jodhpur</t>
        </is>
      </c>
      <c r="Z12" s="27" t="inlineStr">
        <is>
          <t>Rajasthan</t>
        </is>
      </c>
      <c r="AA12" s="27" t="inlineStr">
        <is>
          <t>342030</t>
        </is>
      </c>
      <c r="AB12" s="30" t="inlineStr">
        <is>
          <t>Official Cohort Registry (IIT Jodhpur MedTech Portal)</t>
        </is>
      </c>
    </row>
    <row r="13" ht="20" customHeight="1">
      <c r="A13" s="21" t="n">
        <v>9</v>
      </c>
      <c r="B13" s="22" t="inlineStr">
        <is>
          <t>M21ID003</t>
        </is>
      </c>
      <c r="C13" s="23" t="inlineStr">
        <is>
          <t>Divesh Kumar Awasthi</t>
        </is>
      </c>
      <c r="D13" s="21" t="inlineStr">
        <is>
          <t>Masters</t>
        </is>
      </c>
      <c r="E13" s="24" t="inlineStr">
        <is>
          <t>M.Tech in Medical Technology</t>
        </is>
      </c>
      <c r="F13" s="21" t="n">
        <v>2021</v>
      </c>
      <c r="G13" s="21" t="n">
        <v>2023</v>
      </c>
      <c r="H13" s="25" t="inlineStr">
        <is>
          <t>Alumni</t>
        </is>
      </c>
      <c r="I13" s="24" t="inlineStr">
        <is>
          <t>Ultrasound-Guided Interventional Syringe Systems</t>
        </is>
      </c>
      <c r="J13" s="24" t="inlineStr">
        <is>
          <t>Dr. Hardik Kothadia (IIT Jodhpur)</t>
        </is>
      </c>
      <c r="K13" s="24" t="inlineStr">
        <is>
          <t>m21id003@iitj.ac.in</t>
        </is>
      </c>
      <c r="L13" s="21" t="inlineStr">
        <is>
          <t>-</t>
        </is>
      </c>
      <c r="M13" s="21" t="n">
        <v>0</v>
      </c>
      <c r="N13" s="24" t="inlineStr">
        <is>
          <t>-</t>
        </is>
      </c>
      <c r="O13" s="21" t="n">
        <v>0</v>
      </c>
      <c r="P13" s="24" t="inlineStr">
        <is>
          <t>-</t>
        </is>
      </c>
      <c r="Q13" s="26" t="n">
        <v>1</v>
      </c>
      <c r="R13" s="24" t="inlineStr">
        <is>
          <t>Healyantra Medical Technologies Pvt. Ltd. (Co-Founder)</t>
        </is>
      </c>
      <c r="S13" s="26" t="n">
        <v>2</v>
      </c>
      <c r="T13" s="24" t="inlineStr">
        <is>
          <t>First patent ; TechEx Technology Transfer Hub funding</t>
        </is>
      </c>
      <c r="U13" s="21" t="inlineStr">
        <is>
          <t>-</t>
        </is>
      </c>
      <c r="V13" s="21" t="inlineStr">
        <is>
          <t>-</t>
        </is>
      </c>
      <c r="W13" s="24" t="inlineStr">
        <is>
          <t>Centre for Medical Technologies (IDRP)</t>
        </is>
      </c>
      <c r="X13" s="24" t="inlineStr">
        <is>
          <t>IIT Jodhpur Permanent Campus, NH 62, Karwar</t>
        </is>
      </c>
      <c r="Y13" s="21" t="inlineStr">
        <is>
          <t>Jodhpur</t>
        </is>
      </c>
      <c r="Z13" s="21" t="inlineStr">
        <is>
          <t>Rajasthan</t>
        </is>
      </c>
      <c r="AA13" s="21" t="inlineStr">
        <is>
          <t>342030</t>
        </is>
      </c>
      <c r="AB13" s="24" t="inlineStr">
        <is>
          <t>Official Cohort Registry (IIT Jodhpur MedTech Portal)</t>
        </is>
      </c>
    </row>
    <row r="14" ht="20" customHeight="1">
      <c r="A14" s="27" t="n">
        <v>10</v>
      </c>
      <c r="B14" s="28" t="inlineStr">
        <is>
          <t>M21ID004</t>
        </is>
      </c>
      <c r="C14" s="29" t="inlineStr">
        <is>
          <t>Gaurav Sawriya</t>
        </is>
      </c>
      <c r="D14" s="27" t="inlineStr">
        <is>
          <t>Masters</t>
        </is>
      </c>
      <c r="E14" s="30" t="inlineStr">
        <is>
          <t>M.Tech in Medical Technology</t>
        </is>
      </c>
      <c r="F14" s="27" t="n">
        <v>2021</v>
      </c>
      <c r="G14" s="27" t="n">
        <v>2023</v>
      </c>
      <c r="H14" s="25" t="inlineStr">
        <is>
          <t>Alumni</t>
        </is>
      </c>
      <c r="I14" s="30" t="inlineStr">
        <is>
          <t>Medical Technology</t>
        </is>
      </c>
      <c r="J14" s="30" t="inlineStr">
        <is>
          <t>Faculty Board (IDRP / AIIMS-IIT Joint)</t>
        </is>
      </c>
      <c r="K14" s="30" t="inlineStr">
        <is>
          <t>m21id004@iitj.ac.in</t>
        </is>
      </c>
      <c r="L14" s="27" t="inlineStr">
        <is>
          <t>-</t>
        </is>
      </c>
      <c r="M14" s="27" t="n">
        <v>0</v>
      </c>
      <c r="N14" s="30" t="inlineStr">
        <is>
          <t>-</t>
        </is>
      </c>
      <c r="O14" s="27" t="n">
        <v>0</v>
      </c>
      <c r="P14" s="30" t="inlineStr">
        <is>
          <t>-</t>
        </is>
      </c>
      <c r="Q14" s="27" t="n">
        <v>0</v>
      </c>
      <c r="R14" s="30" t="inlineStr">
        <is>
          <t>-</t>
        </is>
      </c>
      <c r="S14" s="27" t="n">
        <v>0</v>
      </c>
      <c r="T14" s="30" t="inlineStr">
        <is>
          <t>-</t>
        </is>
      </c>
      <c r="U14" s="27" t="inlineStr">
        <is>
          <t>-</t>
        </is>
      </c>
      <c r="V14" s="27" t="inlineStr">
        <is>
          <t>-</t>
        </is>
      </c>
      <c r="W14" s="30" t="inlineStr">
        <is>
          <t>Centre for Medical Technologies (IDRP)</t>
        </is>
      </c>
      <c r="X14" s="30" t="inlineStr">
        <is>
          <t>IIT Jodhpur Permanent Campus, NH 62, Karwar</t>
        </is>
      </c>
      <c r="Y14" s="27" t="inlineStr">
        <is>
          <t>Jodhpur</t>
        </is>
      </c>
      <c r="Z14" s="27" t="inlineStr">
        <is>
          <t>Rajasthan</t>
        </is>
      </c>
      <c r="AA14" s="27" t="inlineStr">
        <is>
          <t>342030</t>
        </is>
      </c>
      <c r="AB14" s="30" t="inlineStr">
        <is>
          <t>Official Cohort Registry (IIT Jodhpur MedTech Portal)</t>
        </is>
      </c>
    </row>
    <row r="15" ht="20" customHeight="1">
      <c r="A15" s="21" t="n">
        <v>11</v>
      </c>
      <c r="B15" s="22" t="inlineStr">
        <is>
          <t>M21ID005</t>
        </is>
      </c>
      <c r="C15" s="23" t="inlineStr">
        <is>
          <t>Harisharan R</t>
        </is>
      </c>
      <c r="D15" s="21" t="inlineStr">
        <is>
          <t>Masters</t>
        </is>
      </c>
      <c r="E15" s="24" t="inlineStr">
        <is>
          <t>M.Tech in Medical Technology</t>
        </is>
      </c>
      <c r="F15" s="21" t="n">
        <v>2021</v>
      </c>
      <c r="G15" s="21" t="n">
        <v>2023</v>
      </c>
      <c r="H15" s="25" t="inlineStr">
        <is>
          <t>Alumni</t>
        </is>
      </c>
      <c r="I15" s="24" t="inlineStr">
        <is>
          <t>ENT Devices &amp; Cartilage Reshaping Instrumentation</t>
        </is>
      </c>
      <c r="J15" s="24" t="inlineStr">
        <is>
          <t>Prof. Ajay Agarwal (IIT Jodhpur) &amp; Dr. Amit Goyal (AIIMS Jodhpur)</t>
        </is>
      </c>
      <c r="K15" s="24" t="inlineStr">
        <is>
          <t>m21id005@iitj.ac.in</t>
        </is>
      </c>
      <c r="L15" s="21" t="inlineStr">
        <is>
          <t>-</t>
        </is>
      </c>
      <c r="M15" s="21" t="n">
        <v>0</v>
      </c>
      <c r="N15" s="24" t="inlineStr">
        <is>
          <t>-</t>
        </is>
      </c>
      <c r="O15" s="26" t="n">
        <v>1</v>
      </c>
      <c r="P15" s="24" t="inlineStr">
        <is>
          <t>App 202411033887: Device for Reshaping Cartilage</t>
        </is>
      </c>
      <c r="Q15" s="26" t="n">
        <v>1</v>
      </c>
      <c r="R15" s="24" t="inlineStr">
        <is>
          <t>Caldor Health Technologies Pvt. Ltd. (Co-Founder)</t>
        </is>
      </c>
      <c r="S15" s="26" t="n">
        <v>1</v>
      </c>
      <c r="T15" s="24" t="inlineStr">
        <is>
          <t>US$100,000 raised for SWASAM</t>
        </is>
      </c>
      <c r="U15" s="21" t="inlineStr">
        <is>
          <t>-</t>
        </is>
      </c>
      <c r="V15" s="21" t="inlineStr">
        <is>
          <t>-</t>
        </is>
      </c>
      <c r="W15" s="24" t="inlineStr">
        <is>
          <t>Centre for Medical Technologies (IDRP)</t>
        </is>
      </c>
      <c r="X15" s="24" t="inlineStr">
        <is>
          <t>IIT Jodhpur Permanent Campus, NH 62, Karwar</t>
        </is>
      </c>
      <c r="Y15" s="21" t="inlineStr">
        <is>
          <t>Jodhpur</t>
        </is>
      </c>
      <c r="Z15" s="21" t="inlineStr">
        <is>
          <t>Rajasthan</t>
        </is>
      </c>
      <c r="AA15" s="21" t="inlineStr">
        <is>
          <t>342030</t>
        </is>
      </c>
      <c r="AB15" s="24" t="inlineStr">
        <is>
          <t>Official Cohort Registry (IIT Jodhpur MedTech Portal)</t>
        </is>
      </c>
    </row>
    <row r="16" ht="20" customHeight="1">
      <c r="A16" s="27" t="n">
        <v>12</v>
      </c>
      <c r="B16" s="28" t="inlineStr">
        <is>
          <t>M21ID007</t>
        </is>
      </c>
      <c r="C16" s="29" t="inlineStr">
        <is>
          <t>Varun Raman Khandelwal</t>
        </is>
      </c>
      <c r="D16" s="27" t="inlineStr">
        <is>
          <t>Masters</t>
        </is>
      </c>
      <c r="E16" s="30" t="inlineStr">
        <is>
          <t>M.Tech in Medical Technology</t>
        </is>
      </c>
      <c r="F16" s="27" t="n">
        <v>2021</v>
      </c>
      <c r="G16" s="27" t="n">
        <v>2023</v>
      </c>
      <c r="H16" s="25" t="inlineStr">
        <is>
          <t>Alumni</t>
        </is>
      </c>
      <c r="I16" s="30" t="inlineStr">
        <is>
          <t>Ultrasound-Guided Surgical Procedures &amp; Clinical Devices</t>
        </is>
      </c>
      <c r="J16" s="30" t="inlineStr">
        <is>
          <t>Dr. Hardik Kothadia (IIT Jodhpur)</t>
        </is>
      </c>
      <c r="K16" s="30" t="inlineStr">
        <is>
          <t>m21id007@iitj.ac.in</t>
        </is>
      </c>
      <c r="L16" s="27" t="inlineStr">
        <is>
          <t>-</t>
        </is>
      </c>
      <c r="M16" s="27" t="n">
        <v>0</v>
      </c>
      <c r="N16" s="30" t="inlineStr">
        <is>
          <t>-</t>
        </is>
      </c>
      <c r="O16" s="27" t="n">
        <v>0</v>
      </c>
      <c r="P16" s="30" t="inlineStr">
        <is>
          <t>-</t>
        </is>
      </c>
      <c r="Q16" s="26" t="n">
        <v>1</v>
      </c>
      <c r="R16" s="30" t="inlineStr">
        <is>
          <t>Healyantra Medical Technologies Pvt. Ltd. (Director &amp; Co-Founder)</t>
        </is>
      </c>
      <c r="S16" s="26" t="n">
        <v>3</v>
      </c>
      <c r="T16" s="30" t="inlineStr">
        <is>
          <t>First patent ; TechEx Technology Transfer Hub funding ; Winner of MEDHA 2022</t>
        </is>
      </c>
      <c r="U16" s="27" t="inlineStr">
        <is>
          <t>-</t>
        </is>
      </c>
      <c r="V16" s="27" t="inlineStr">
        <is>
          <t>-</t>
        </is>
      </c>
      <c r="W16" s="30" t="inlineStr">
        <is>
          <t>Centre for Medical Technologies (IDRP)</t>
        </is>
      </c>
      <c r="X16" s="30" t="inlineStr">
        <is>
          <t>IIT Jodhpur Permanent Campus, NH 62, Karwar</t>
        </is>
      </c>
      <c r="Y16" s="27" t="inlineStr">
        <is>
          <t>Jodhpur</t>
        </is>
      </c>
      <c r="Z16" s="27" t="inlineStr">
        <is>
          <t>Rajasthan</t>
        </is>
      </c>
      <c r="AA16" s="27" t="inlineStr">
        <is>
          <t>342030</t>
        </is>
      </c>
      <c r="AB16" s="30" t="inlineStr">
        <is>
          <t>Official Cohort Registry (IIT Jodhpur MedTech Portal)</t>
        </is>
      </c>
    </row>
    <row r="17" ht="20" customHeight="1">
      <c r="A17" s="21" t="n">
        <v>13</v>
      </c>
      <c r="B17" s="22" t="inlineStr">
        <is>
          <t>M22ID001</t>
        </is>
      </c>
      <c r="C17" s="23" t="inlineStr">
        <is>
          <t>Aakshi Sharma</t>
        </is>
      </c>
      <c r="D17" s="21" t="inlineStr">
        <is>
          <t>Masters</t>
        </is>
      </c>
      <c r="E17" s="24" t="inlineStr">
        <is>
          <t>M.Tech in Medical Technology</t>
        </is>
      </c>
      <c r="F17" s="21" t="n">
        <v>2022</v>
      </c>
      <c r="G17" s="21" t="n">
        <v>2024</v>
      </c>
      <c r="H17" s="25" t="inlineStr">
        <is>
          <t>Alumni</t>
        </is>
      </c>
      <c r="I17" s="24" t="inlineStr">
        <is>
          <t>Medical Technology</t>
        </is>
      </c>
      <c r="J17" s="24" t="inlineStr">
        <is>
          <t>Faculty Board (IDRP / AIIMS-IIT Joint)</t>
        </is>
      </c>
      <c r="K17" s="24" t="inlineStr">
        <is>
          <t>m22id001@iitj.ac.in</t>
        </is>
      </c>
      <c r="L17" s="21" t="inlineStr">
        <is>
          <t>-</t>
        </is>
      </c>
      <c r="M17" s="21" t="n">
        <v>0</v>
      </c>
      <c r="N17" s="24" t="inlineStr">
        <is>
          <t>-</t>
        </is>
      </c>
      <c r="O17" s="21" t="n">
        <v>0</v>
      </c>
      <c r="P17" s="24" t="inlineStr">
        <is>
          <t>-</t>
        </is>
      </c>
      <c r="Q17" s="21" t="n">
        <v>0</v>
      </c>
      <c r="R17" s="24" t="inlineStr">
        <is>
          <t>-</t>
        </is>
      </c>
      <c r="S17" s="21" t="n">
        <v>0</v>
      </c>
      <c r="T17" s="24" t="inlineStr">
        <is>
          <t>-</t>
        </is>
      </c>
      <c r="U17" s="21" t="inlineStr">
        <is>
          <t>-</t>
        </is>
      </c>
      <c r="V17" s="21" t="inlineStr">
        <is>
          <t>-</t>
        </is>
      </c>
      <c r="W17" s="24" t="inlineStr">
        <is>
          <t>Centre for Medical Technologies (IDRP)</t>
        </is>
      </c>
      <c r="X17" s="24" t="inlineStr">
        <is>
          <t>IIT Jodhpur Permanent Campus, NH 62, Karwar</t>
        </is>
      </c>
      <c r="Y17" s="21" t="inlineStr">
        <is>
          <t>Jodhpur</t>
        </is>
      </c>
      <c r="Z17" s="21" t="inlineStr">
        <is>
          <t>Rajasthan</t>
        </is>
      </c>
      <c r="AA17" s="21" t="inlineStr">
        <is>
          <t>342030</t>
        </is>
      </c>
      <c r="AB17" s="24" t="inlineStr">
        <is>
          <t>Official Cohort Registry (IIT Jodhpur MedTech Portal)</t>
        </is>
      </c>
    </row>
    <row r="18" ht="20" customHeight="1">
      <c r="A18" s="27" t="n">
        <v>14</v>
      </c>
      <c r="B18" s="28" t="inlineStr">
        <is>
          <t>M22ID002</t>
        </is>
      </c>
      <c r="C18" s="29" t="inlineStr">
        <is>
          <t>Anjali Rajeev</t>
        </is>
      </c>
      <c r="D18" s="27" t="inlineStr">
        <is>
          <t>Masters</t>
        </is>
      </c>
      <c r="E18" s="30" t="inlineStr">
        <is>
          <t>M.Tech in Medical Technology</t>
        </is>
      </c>
      <c r="F18" s="27" t="n">
        <v>2022</v>
      </c>
      <c r="G18" s="27" t="n">
        <v>2024</v>
      </c>
      <c r="H18" s="25" t="inlineStr">
        <is>
          <t>Alumni</t>
        </is>
      </c>
      <c r="I18" s="30" t="inlineStr">
        <is>
          <t>Medical Technology</t>
        </is>
      </c>
      <c r="J18" s="30" t="inlineStr">
        <is>
          <t>Faculty Board (IDRP / AIIMS-IIT Joint)</t>
        </is>
      </c>
      <c r="K18" s="30" t="inlineStr">
        <is>
          <t>m22id002@iitj.ac.in</t>
        </is>
      </c>
      <c r="L18" s="27" t="inlineStr">
        <is>
          <t>-</t>
        </is>
      </c>
      <c r="M18" s="27" t="n">
        <v>0</v>
      </c>
      <c r="N18" s="30" t="inlineStr">
        <is>
          <t>-</t>
        </is>
      </c>
      <c r="O18" s="27" t="n">
        <v>0</v>
      </c>
      <c r="P18" s="30" t="inlineStr">
        <is>
          <t>-</t>
        </is>
      </c>
      <c r="Q18" s="27" t="n">
        <v>0</v>
      </c>
      <c r="R18" s="30" t="inlineStr">
        <is>
          <t>-</t>
        </is>
      </c>
      <c r="S18" s="27" t="n">
        <v>0</v>
      </c>
      <c r="T18" s="30" t="inlineStr">
        <is>
          <t>-</t>
        </is>
      </c>
      <c r="U18" s="27" t="inlineStr">
        <is>
          <t>-</t>
        </is>
      </c>
      <c r="V18" s="27" t="inlineStr">
        <is>
          <t>-</t>
        </is>
      </c>
      <c r="W18" s="30" t="inlineStr">
        <is>
          <t>Centre for Medical Technologies (IDRP)</t>
        </is>
      </c>
      <c r="X18" s="30" t="inlineStr">
        <is>
          <t>IIT Jodhpur Permanent Campus, NH 62, Karwar</t>
        </is>
      </c>
      <c r="Y18" s="27" t="inlineStr">
        <is>
          <t>Jodhpur</t>
        </is>
      </c>
      <c r="Z18" s="27" t="inlineStr">
        <is>
          <t>Rajasthan</t>
        </is>
      </c>
      <c r="AA18" s="27" t="inlineStr">
        <is>
          <t>342030</t>
        </is>
      </c>
      <c r="AB18" s="30" t="inlineStr">
        <is>
          <t>Official Cohort Registry (IIT Jodhpur MedTech Portal)</t>
        </is>
      </c>
    </row>
    <row r="19" ht="20" customHeight="1">
      <c r="A19" s="21" t="n">
        <v>15</v>
      </c>
      <c r="B19" s="22" t="inlineStr">
        <is>
          <t>M22ID003</t>
        </is>
      </c>
      <c r="C19" s="23" t="inlineStr">
        <is>
          <t>Debasish Panda</t>
        </is>
      </c>
      <c r="D19" s="21" t="inlineStr">
        <is>
          <t>Masters</t>
        </is>
      </c>
      <c r="E19" s="24" t="inlineStr">
        <is>
          <t>M.Tech in Medical Technology</t>
        </is>
      </c>
      <c r="F19" s="21" t="n">
        <v>2022</v>
      </c>
      <c r="G19" s="21" t="n">
        <v>2024</v>
      </c>
      <c r="H19" s="25" t="inlineStr">
        <is>
          <t>Alumni</t>
        </is>
      </c>
      <c r="I19" s="24" t="inlineStr">
        <is>
          <t>Medical Technology</t>
        </is>
      </c>
      <c r="J19" s="24" t="inlineStr">
        <is>
          <t>Faculty Board (IDRP / AIIMS-IIT Joint)</t>
        </is>
      </c>
      <c r="K19" s="24" t="inlineStr">
        <is>
          <t>m22id003@iitj.ac.in</t>
        </is>
      </c>
      <c r="L19" s="21" t="inlineStr">
        <is>
          <t>-</t>
        </is>
      </c>
      <c r="M19" s="21" t="n">
        <v>0</v>
      </c>
      <c r="N19" s="24" t="inlineStr">
        <is>
          <t>-</t>
        </is>
      </c>
      <c r="O19" s="21" t="n">
        <v>0</v>
      </c>
      <c r="P19" s="24" t="inlineStr">
        <is>
          <t>-</t>
        </is>
      </c>
      <c r="Q19" s="21" t="n">
        <v>0</v>
      </c>
      <c r="R19" s="24" t="inlineStr">
        <is>
          <t>-</t>
        </is>
      </c>
      <c r="S19" s="26" t="n">
        <v>2</v>
      </c>
      <c r="T19" s="24" t="inlineStr">
        <is>
          <t>Silver Medal ; Indian patent: non-invasive glucometer</t>
        </is>
      </c>
      <c r="U19" s="21" t="inlineStr">
        <is>
          <t>-</t>
        </is>
      </c>
      <c r="V19" s="21" t="inlineStr">
        <is>
          <t>-</t>
        </is>
      </c>
      <c r="W19" s="24" t="inlineStr">
        <is>
          <t>Centre for Medical Technologies (IDRP)</t>
        </is>
      </c>
      <c r="X19" s="24" t="inlineStr">
        <is>
          <t>IIT Jodhpur Permanent Campus, NH 62, Karwar</t>
        </is>
      </c>
      <c r="Y19" s="21" t="inlineStr">
        <is>
          <t>Jodhpur</t>
        </is>
      </c>
      <c r="Z19" s="21" t="inlineStr">
        <is>
          <t>Rajasthan</t>
        </is>
      </c>
      <c r="AA19" s="21" t="inlineStr">
        <is>
          <t>342030</t>
        </is>
      </c>
      <c r="AB19" s="24" t="inlineStr">
        <is>
          <t>Official Cohort Registry (IIT Jodhpur MedTech Portal)</t>
        </is>
      </c>
    </row>
    <row r="20" ht="20" customHeight="1">
      <c r="A20" s="27" t="n">
        <v>16</v>
      </c>
      <c r="B20" s="28" t="inlineStr">
        <is>
          <t>M22ID004</t>
        </is>
      </c>
      <c r="C20" s="29" t="inlineStr">
        <is>
          <t>Tanvi Chawla</t>
        </is>
      </c>
      <c r="D20" s="27" t="inlineStr">
        <is>
          <t>Masters</t>
        </is>
      </c>
      <c r="E20" s="30" t="inlineStr">
        <is>
          <t>M.Tech in Medical Technology</t>
        </is>
      </c>
      <c r="F20" s="27" t="n">
        <v>2022</v>
      </c>
      <c r="G20" s="27" t="n">
        <v>2024</v>
      </c>
      <c r="H20" s="25" t="inlineStr">
        <is>
          <t>Alumni</t>
        </is>
      </c>
      <c r="I20" s="30" t="inlineStr">
        <is>
          <t>Medical Technology</t>
        </is>
      </c>
      <c r="J20" s="30" t="inlineStr">
        <is>
          <t>Faculty Board (IDRP / AIIMS-IIT Joint)</t>
        </is>
      </c>
      <c r="K20" s="30" t="inlineStr">
        <is>
          <t>m22id004@iitj.ac.in</t>
        </is>
      </c>
      <c r="L20" s="27" t="inlineStr">
        <is>
          <t>-</t>
        </is>
      </c>
      <c r="M20" s="27" t="n">
        <v>0</v>
      </c>
      <c r="N20" s="30" t="inlineStr">
        <is>
          <t>-</t>
        </is>
      </c>
      <c r="O20" s="27" t="n">
        <v>0</v>
      </c>
      <c r="P20" s="30" t="inlineStr">
        <is>
          <t>-</t>
        </is>
      </c>
      <c r="Q20" s="27" t="n">
        <v>0</v>
      </c>
      <c r="R20" s="30" t="inlineStr">
        <is>
          <t>-</t>
        </is>
      </c>
      <c r="S20" s="26" t="n">
        <v>1</v>
      </c>
      <c r="T20" s="30" t="inlineStr">
        <is>
          <t>Most Promising Doctor in Dental Award</t>
        </is>
      </c>
      <c r="U20" s="27" t="inlineStr">
        <is>
          <t>-</t>
        </is>
      </c>
      <c r="V20" s="27" t="inlineStr">
        <is>
          <t>-</t>
        </is>
      </c>
      <c r="W20" s="30" t="inlineStr">
        <is>
          <t>Centre for Medical Technologies (IDRP)</t>
        </is>
      </c>
      <c r="X20" s="30" t="inlineStr">
        <is>
          <t>IIT Jodhpur Permanent Campus, NH 62, Karwar</t>
        </is>
      </c>
      <c r="Y20" s="27" t="inlineStr">
        <is>
          <t>Jodhpur</t>
        </is>
      </c>
      <c r="Z20" s="27" t="inlineStr">
        <is>
          <t>Rajasthan</t>
        </is>
      </c>
      <c r="AA20" s="27" t="inlineStr">
        <is>
          <t>342030</t>
        </is>
      </c>
      <c r="AB20" s="30" t="inlineStr">
        <is>
          <t>Official Cohort Registry (IIT Jodhpur MedTech Portal)</t>
        </is>
      </c>
    </row>
    <row r="21" ht="20" customHeight="1">
      <c r="A21" s="21" t="n">
        <v>17</v>
      </c>
      <c r="B21" s="22" t="inlineStr">
        <is>
          <t>M22ID005</t>
        </is>
      </c>
      <c r="C21" s="23" t="inlineStr">
        <is>
          <t>Yuvraj Ishwar Telrandhe</t>
        </is>
      </c>
      <c r="D21" s="21" t="inlineStr">
        <is>
          <t>Masters</t>
        </is>
      </c>
      <c r="E21" s="24" t="inlineStr">
        <is>
          <t>M.Tech in Medical Technology</t>
        </is>
      </c>
      <c r="F21" s="21" t="n">
        <v>2022</v>
      </c>
      <c r="G21" s="21" t="n">
        <v>2024</v>
      </c>
      <c r="H21" s="25" t="inlineStr">
        <is>
          <t>Alumni</t>
        </is>
      </c>
      <c r="I21" s="24" t="inlineStr">
        <is>
          <t>Medical Technology</t>
        </is>
      </c>
      <c r="J21" s="24" t="inlineStr">
        <is>
          <t>Faculty Board (IDRP / AIIMS-IIT Joint)</t>
        </is>
      </c>
      <c r="K21" s="24" t="inlineStr">
        <is>
          <t>m22id005@iitj.ac.in</t>
        </is>
      </c>
      <c r="L21" s="21" t="inlineStr">
        <is>
          <t>-</t>
        </is>
      </c>
      <c r="M21" s="21" t="n">
        <v>0</v>
      </c>
      <c r="N21" s="24" t="inlineStr">
        <is>
          <t>-</t>
        </is>
      </c>
      <c r="O21" s="21" t="n">
        <v>0</v>
      </c>
      <c r="P21" s="24" t="inlineStr">
        <is>
          <t>-</t>
        </is>
      </c>
      <c r="Q21" s="21" t="n">
        <v>0</v>
      </c>
      <c r="R21" s="24" t="inlineStr">
        <is>
          <t>-</t>
        </is>
      </c>
      <c r="S21" s="21" t="n">
        <v>0</v>
      </c>
      <c r="T21" s="24" t="inlineStr">
        <is>
          <t>-</t>
        </is>
      </c>
      <c r="U21" s="21" t="inlineStr">
        <is>
          <t>-</t>
        </is>
      </c>
      <c r="V21" s="21" t="inlineStr">
        <is>
          <t>-</t>
        </is>
      </c>
      <c r="W21" s="24" t="inlineStr">
        <is>
          <t>Centre for Medical Technologies (IDRP)</t>
        </is>
      </c>
      <c r="X21" s="24" t="inlineStr">
        <is>
          <t>IIT Jodhpur Permanent Campus, NH 62, Karwar</t>
        </is>
      </c>
      <c r="Y21" s="21" t="inlineStr">
        <is>
          <t>Jodhpur</t>
        </is>
      </c>
      <c r="Z21" s="21" t="inlineStr">
        <is>
          <t>Rajasthan</t>
        </is>
      </c>
      <c r="AA21" s="21" t="inlineStr">
        <is>
          <t>342030</t>
        </is>
      </c>
      <c r="AB21" s="24" t="inlineStr">
        <is>
          <t>Official Cohort Registry (IIT Jodhpur MedTech Portal)</t>
        </is>
      </c>
    </row>
    <row r="22" ht="20" customHeight="1">
      <c r="A22" s="27" t="n">
        <v>18</v>
      </c>
      <c r="B22" s="28" t="inlineStr">
        <is>
          <t>M22ID006</t>
        </is>
      </c>
      <c r="C22" s="29" t="inlineStr">
        <is>
          <t>Garima Nath</t>
        </is>
      </c>
      <c r="D22" s="27" t="inlineStr">
        <is>
          <t>Masters</t>
        </is>
      </c>
      <c r="E22" s="30" t="inlineStr">
        <is>
          <t>M.Tech in Medical Technology</t>
        </is>
      </c>
      <c r="F22" s="27" t="n">
        <v>2022</v>
      </c>
      <c r="G22" s="27" t="n">
        <v>2024</v>
      </c>
      <c r="H22" s="25" t="inlineStr">
        <is>
          <t>Alumni</t>
        </is>
      </c>
      <c r="I22" s="30" t="inlineStr">
        <is>
          <t>Medical Technology</t>
        </is>
      </c>
      <c r="J22" s="30" t="inlineStr">
        <is>
          <t>Faculty Board (IDRP / AIIMS-IIT Joint)</t>
        </is>
      </c>
      <c r="K22" s="30" t="inlineStr">
        <is>
          <t>m22id006@iitj.ac.in</t>
        </is>
      </c>
      <c r="L22" s="27" t="inlineStr">
        <is>
          <t>-</t>
        </is>
      </c>
      <c r="M22" s="27" t="n">
        <v>0</v>
      </c>
      <c r="N22" s="30" t="inlineStr">
        <is>
          <t>-</t>
        </is>
      </c>
      <c r="O22" s="27" t="n">
        <v>0</v>
      </c>
      <c r="P22" s="30" t="inlineStr">
        <is>
          <t>-</t>
        </is>
      </c>
      <c r="Q22" s="27" t="n">
        <v>0</v>
      </c>
      <c r="R22" s="30" t="inlineStr">
        <is>
          <t>-</t>
        </is>
      </c>
      <c r="S22" s="27" t="n">
        <v>0</v>
      </c>
      <c r="T22" s="30" t="inlineStr">
        <is>
          <t>-</t>
        </is>
      </c>
      <c r="U22" s="27" t="inlineStr">
        <is>
          <t>-</t>
        </is>
      </c>
      <c r="V22" s="27" t="inlineStr">
        <is>
          <t>-</t>
        </is>
      </c>
      <c r="W22" s="30" t="inlineStr">
        <is>
          <t>Centre for Medical Technologies (IDRP)</t>
        </is>
      </c>
      <c r="X22" s="30" t="inlineStr">
        <is>
          <t>IIT Jodhpur Permanent Campus, NH 62, Karwar</t>
        </is>
      </c>
      <c r="Y22" s="27" t="inlineStr">
        <is>
          <t>Jodhpur</t>
        </is>
      </c>
      <c r="Z22" s="27" t="inlineStr">
        <is>
          <t>Rajasthan</t>
        </is>
      </c>
      <c r="AA22" s="27" t="inlineStr">
        <is>
          <t>342030</t>
        </is>
      </c>
      <c r="AB22" s="30" t="inlineStr">
        <is>
          <t>Official Cohort Registry (IIT Jodhpur MedTech Portal)</t>
        </is>
      </c>
    </row>
    <row r="23" ht="20" customHeight="1">
      <c r="A23" s="21" t="n">
        <v>19</v>
      </c>
      <c r="B23" s="22" t="inlineStr">
        <is>
          <t>M22ID008</t>
        </is>
      </c>
      <c r="C23" s="23" t="inlineStr">
        <is>
          <t>Abu Sanny Mottalib</t>
        </is>
      </c>
      <c r="D23" s="21" t="inlineStr">
        <is>
          <t>Masters</t>
        </is>
      </c>
      <c r="E23" s="24" t="inlineStr">
        <is>
          <t>M.Tech in Medical Technology</t>
        </is>
      </c>
      <c r="F23" s="21" t="n">
        <v>2022</v>
      </c>
      <c r="G23" s="21" t="n">
        <v>2024</v>
      </c>
      <c r="H23" s="25" t="inlineStr">
        <is>
          <t>Alumni</t>
        </is>
      </c>
      <c r="I23" s="24" t="inlineStr">
        <is>
          <t>Medical Technology</t>
        </is>
      </c>
      <c r="J23" s="24" t="inlineStr">
        <is>
          <t>Faculty Board (IDRP / AIIMS-IIT Joint)</t>
        </is>
      </c>
      <c r="K23" s="24" t="inlineStr">
        <is>
          <t>m22id008@iitj.ac.in</t>
        </is>
      </c>
      <c r="L23" s="21" t="inlineStr">
        <is>
          <t>-</t>
        </is>
      </c>
      <c r="M23" s="21" t="n">
        <v>0</v>
      </c>
      <c r="N23" s="24" t="inlineStr">
        <is>
          <t>-</t>
        </is>
      </c>
      <c r="O23" s="21" t="n">
        <v>0</v>
      </c>
      <c r="P23" s="24" t="inlineStr">
        <is>
          <t>-</t>
        </is>
      </c>
      <c r="Q23" s="21" t="n">
        <v>0</v>
      </c>
      <c r="R23" s="24" t="inlineStr">
        <is>
          <t>-</t>
        </is>
      </c>
      <c r="S23" s="21" t="n">
        <v>0</v>
      </c>
      <c r="T23" s="24" t="inlineStr">
        <is>
          <t>-</t>
        </is>
      </c>
      <c r="U23" s="21" t="inlineStr">
        <is>
          <t>-</t>
        </is>
      </c>
      <c r="V23" s="21" t="inlineStr">
        <is>
          <t>-</t>
        </is>
      </c>
      <c r="W23" s="24" t="inlineStr">
        <is>
          <t>Centre for Medical Technologies (IDRP)</t>
        </is>
      </c>
      <c r="X23" s="24" t="inlineStr">
        <is>
          <t>IIT Jodhpur Permanent Campus, NH 62, Karwar</t>
        </is>
      </c>
      <c r="Y23" s="21" t="inlineStr">
        <is>
          <t>Jodhpur</t>
        </is>
      </c>
      <c r="Z23" s="21" t="inlineStr">
        <is>
          <t>Rajasthan</t>
        </is>
      </c>
      <c r="AA23" s="21" t="inlineStr">
        <is>
          <t>342030</t>
        </is>
      </c>
      <c r="AB23" s="24" t="inlineStr">
        <is>
          <t>Official Cohort Registry (IIT Jodhpur MedTech Portal)</t>
        </is>
      </c>
    </row>
    <row r="24" ht="20" customHeight="1">
      <c r="A24" s="27" t="n">
        <v>20</v>
      </c>
      <c r="B24" s="28" t="inlineStr">
        <is>
          <t>M23IM1001</t>
        </is>
      </c>
      <c r="C24" s="29" t="inlineStr">
        <is>
          <t>Sivasurya PM</t>
        </is>
      </c>
      <c r="D24" s="27" t="inlineStr">
        <is>
          <t>Masters</t>
        </is>
      </c>
      <c r="E24" s="30" t="inlineStr">
        <is>
          <t>M.Tech in Medical Technology</t>
        </is>
      </c>
      <c r="F24" s="27" t="n">
        <v>2023</v>
      </c>
      <c r="G24" s="27" t="n">
        <v>2025</v>
      </c>
      <c r="H24" s="25" t="inlineStr">
        <is>
          <t>Alumni</t>
        </is>
      </c>
      <c r="I24" s="30" t="inlineStr">
        <is>
          <t>Medical Technology</t>
        </is>
      </c>
      <c r="J24" s="30" t="inlineStr">
        <is>
          <t>Faculty Board (IDRP / AIIMS-IIT Joint)</t>
        </is>
      </c>
      <c r="K24" s="30" t="inlineStr">
        <is>
          <t>m23im1001@iitj.ac.in</t>
        </is>
      </c>
      <c r="L24" s="27" t="inlineStr">
        <is>
          <t>-</t>
        </is>
      </c>
      <c r="M24" s="27" t="n">
        <v>0</v>
      </c>
      <c r="N24" s="30" t="inlineStr">
        <is>
          <t>-</t>
        </is>
      </c>
      <c r="O24" s="27" t="n">
        <v>0</v>
      </c>
      <c r="P24" s="30" t="inlineStr">
        <is>
          <t>-</t>
        </is>
      </c>
      <c r="Q24" s="27" t="n">
        <v>0</v>
      </c>
      <c r="R24" s="30" t="inlineStr">
        <is>
          <t>-</t>
        </is>
      </c>
      <c r="S24" s="27" t="n">
        <v>0</v>
      </c>
      <c r="T24" s="30" t="inlineStr">
        <is>
          <t>-</t>
        </is>
      </c>
      <c r="U24" s="27" t="inlineStr">
        <is>
          <t>-</t>
        </is>
      </c>
      <c r="V24" s="27" t="inlineStr">
        <is>
          <t>-</t>
        </is>
      </c>
      <c r="W24" s="30" t="inlineStr">
        <is>
          <t>Centre for Medical Technologies (IDRP)</t>
        </is>
      </c>
      <c r="X24" s="30" t="inlineStr">
        <is>
          <t>IIT Jodhpur Permanent Campus, NH 62, Karwar</t>
        </is>
      </c>
      <c r="Y24" s="27" t="inlineStr">
        <is>
          <t>Jodhpur</t>
        </is>
      </c>
      <c r="Z24" s="27" t="inlineStr">
        <is>
          <t>Rajasthan</t>
        </is>
      </c>
      <c r="AA24" s="27" t="inlineStr">
        <is>
          <t>342030</t>
        </is>
      </c>
      <c r="AB24" s="30" t="inlineStr">
        <is>
          <t>Official Cohort Registry (IIT Jodhpur MedTech Portal)</t>
        </is>
      </c>
    </row>
    <row r="25" ht="20" customHeight="1">
      <c r="A25" s="21" t="n">
        <v>21</v>
      </c>
      <c r="B25" s="22" t="inlineStr">
        <is>
          <t>M23IM1003</t>
        </is>
      </c>
      <c r="C25" s="23" t="inlineStr">
        <is>
          <t>Ashwin C R</t>
        </is>
      </c>
      <c r="D25" s="21" t="inlineStr">
        <is>
          <t>Masters</t>
        </is>
      </c>
      <c r="E25" s="24" t="inlineStr">
        <is>
          <t>M.Tech in Medical Technology</t>
        </is>
      </c>
      <c r="F25" s="21" t="n">
        <v>2023</v>
      </c>
      <c r="G25" s="21" t="n">
        <v>2025</v>
      </c>
      <c r="H25" s="25" t="inlineStr">
        <is>
          <t>Alumni</t>
        </is>
      </c>
      <c r="I25" s="24" t="inlineStr">
        <is>
          <t>Intraoral Retraction &amp; Surgical Robotics</t>
        </is>
      </c>
      <c r="J25" s="24" t="inlineStr">
        <is>
          <t>Dr. Bhivraj Suthar (IIT Jodhpur) &amp; Dr. Ankita Chugh (AIIMS Jodhpur)</t>
        </is>
      </c>
      <c r="K25" s="24" t="inlineStr">
        <is>
          <t>m23im1003@iitj.ac.in</t>
        </is>
      </c>
      <c r="L25" s="21" t="inlineStr">
        <is>
          <t>-</t>
        </is>
      </c>
      <c r="M25" s="21" t="n">
        <v>0</v>
      </c>
      <c r="N25" s="24" t="inlineStr">
        <is>
          <t>-</t>
        </is>
      </c>
      <c r="O25" s="26" t="n">
        <v>1</v>
      </c>
      <c r="P25" s="24" t="inlineStr">
        <is>
          <t>App #202511105376: A Multi-Functional Retracting Device for Intraoral Procedures and Method Thereof (Filed) | App 202511105376: Multi-Functional Retracting Device for Minimally Invasive Oral Surgery</t>
        </is>
      </c>
      <c r="Q25" s="21" t="n">
        <v>0</v>
      </c>
      <c r="R25" s="24" t="inlineStr">
        <is>
          <t>-</t>
        </is>
      </c>
      <c r="S25" s="26" t="n">
        <v>1</v>
      </c>
      <c r="T25" s="24" t="inlineStr">
        <is>
          <t>Silver Medal for Academic Excellence, Master's in Medical Technologies</t>
        </is>
      </c>
      <c r="U25" s="21" t="inlineStr">
        <is>
          <t>-</t>
        </is>
      </c>
      <c r="V25" s="21" t="inlineStr">
        <is>
          <t>-</t>
        </is>
      </c>
      <c r="W25" s="24" t="inlineStr">
        <is>
          <t>Centre for Medical Technologies (IDRP)</t>
        </is>
      </c>
      <c r="X25" s="24" t="inlineStr">
        <is>
          <t>IIT Jodhpur Permanent Campus, NH 62, Karwar</t>
        </is>
      </c>
      <c r="Y25" s="21" t="inlineStr">
        <is>
          <t>Jodhpur</t>
        </is>
      </c>
      <c r="Z25" s="21" t="inlineStr">
        <is>
          <t>Rajasthan</t>
        </is>
      </c>
      <c r="AA25" s="21" t="inlineStr">
        <is>
          <t>342030</t>
        </is>
      </c>
      <c r="AB25" s="24" t="inlineStr">
        <is>
          <t>Official Cohort Registry (IIT Jodhpur MedTech Portal)</t>
        </is>
      </c>
    </row>
    <row r="26" ht="20" customHeight="1">
      <c r="A26" s="27" t="n">
        <v>22</v>
      </c>
      <c r="B26" s="28" t="inlineStr">
        <is>
          <t>M24IM1001</t>
        </is>
      </c>
      <c r="C26" s="29" t="inlineStr">
        <is>
          <t>Mahadevan</t>
        </is>
      </c>
      <c r="D26" s="27" t="inlineStr">
        <is>
          <t>Masters</t>
        </is>
      </c>
      <c r="E26" s="30" t="inlineStr">
        <is>
          <t>M.Tech in Medical Technology</t>
        </is>
      </c>
      <c r="F26" s="27" t="n">
        <v>2024</v>
      </c>
      <c r="G26" s="27" t="n">
        <v>2026</v>
      </c>
      <c r="H26" s="31" t="inlineStr">
        <is>
          <t>Active</t>
        </is>
      </c>
      <c r="I26" s="30" t="inlineStr">
        <is>
          <t>Medical Technology</t>
        </is>
      </c>
      <c r="J26" s="30" t="inlineStr">
        <is>
          <t>Faculty Board (IDRP / AIIMS-IIT Joint)</t>
        </is>
      </c>
      <c r="K26" s="30" t="inlineStr">
        <is>
          <t>m24im1001@iitj.ac.in</t>
        </is>
      </c>
      <c r="L26" s="27" t="inlineStr">
        <is>
          <t>-</t>
        </is>
      </c>
      <c r="M26" s="27" t="n">
        <v>0</v>
      </c>
      <c r="N26" s="30" t="inlineStr">
        <is>
          <t>-</t>
        </is>
      </c>
      <c r="O26" s="27" t="n">
        <v>0</v>
      </c>
      <c r="P26" s="30" t="inlineStr">
        <is>
          <t>-</t>
        </is>
      </c>
      <c r="Q26" s="27" t="n">
        <v>0</v>
      </c>
      <c r="R26" s="30" t="inlineStr">
        <is>
          <t>-</t>
        </is>
      </c>
      <c r="S26" s="27" t="n">
        <v>0</v>
      </c>
      <c r="T26" s="30" t="inlineStr">
        <is>
          <t>-</t>
        </is>
      </c>
      <c r="U26" s="27" t="inlineStr">
        <is>
          <t>-</t>
        </is>
      </c>
      <c r="V26" s="27" t="inlineStr">
        <is>
          <t>-</t>
        </is>
      </c>
      <c r="W26" s="30" t="inlineStr">
        <is>
          <t>Centre for Medical Technologies (IDRP)</t>
        </is>
      </c>
      <c r="X26" s="30" t="inlineStr">
        <is>
          <t>IIT Jodhpur Permanent Campus, NH 62, Karwar</t>
        </is>
      </c>
      <c r="Y26" s="27" t="inlineStr">
        <is>
          <t>Jodhpur</t>
        </is>
      </c>
      <c r="Z26" s="27" t="inlineStr">
        <is>
          <t>Rajasthan</t>
        </is>
      </c>
      <c r="AA26" s="27" t="inlineStr">
        <is>
          <t>342030</t>
        </is>
      </c>
      <c r="AB26" s="30" t="inlineStr">
        <is>
          <t>Official Cohort Registry (IIT Jodhpur MedTech Portal)</t>
        </is>
      </c>
    </row>
    <row r="27" ht="20" customHeight="1">
      <c r="A27" s="21" t="n">
        <v>23</v>
      </c>
      <c r="B27" s="22" t="inlineStr">
        <is>
          <t>M24IM1002</t>
        </is>
      </c>
      <c r="C27" s="23" t="inlineStr">
        <is>
          <t>Mohamed Zaki Hafeez</t>
        </is>
      </c>
      <c r="D27" s="21" t="inlineStr">
        <is>
          <t>Masters</t>
        </is>
      </c>
      <c r="E27" s="24" t="inlineStr">
        <is>
          <t>M.Tech in Medical Technology</t>
        </is>
      </c>
      <c r="F27" s="21" t="n">
        <v>2024</v>
      </c>
      <c r="G27" s="21" t="n">
        <v>2026</v>
      </c>
      <c r="H27" s="31" t="inlineStr">
        <is>
          <t>Active</t>
        </is>
      </c>
      <c r="I27" s="24" t="inlineStr">
        <is>
          <t>Medical Technology</t>
        </is>
      </c>
      <c r="J27" s="24" t="inlineStr">
        <is>
          <t>Faculty Board (IDRP / AIIMS-IIT Joint)</t>
        </is>
      </c>
      <c r="K27" s="24" t="inlineStr">
        <is>
          <t>m24im1002@iitj.ac.in</t>
        </is>
      </c>
      <c r="L27" s="21" t="inlineStr">
        <is>
          <t>-</t>
        </is>
      </c>
      <c r="M27" s="21" t="n">
        <v>0</v>
      </c>
      <c r="N27" s="24" t="inlineStr">
        <is>
          <t>-</t>
        </is>
      </c>
      <c r="O27" s="21" t="n">
        <v>0</v>
      </c>
      <c r="P27" s="24" t="inlineStr">
        <is>
          <t>-</t>
        </is>
      </c>
      <c r="Q27" s="21" t="n">
        <v>0</v>
      </c>
      <c r="R27" s="24" t="inlineStr">
        <is>
          <t>-</t>
        </is>
      </c>
      <c r="S27" s="21" t="n">
        <v>0</v>
      </c>
      <c r="T27" s="24" t="inlineStr">
        <is>
          <t>-</t>
        </is>
      </c>
      <c r="U27" s="21" t="inlineStr">
        <is>
          <t>-</t>
        </is>
      </c>
      <c r="V27" s="21" t="inlineStr">
        <is>
          <t>-</t>
        </is>
      </c>
      <c r="W27" s="24" t="inlineStr">
        <is>
          <t>Centre for Medical Technologies (IDRP)</t>
        </is>
      </c>
      <c r="X27" s="24" t="inlineStr">
        <is>
          <t>IIT Jodhpur Permanent Campus, NH 62, Karwar</t>
        </is>
      </c>
      <c r="Y27" s="21" t="inlineStr">
        <is>
          <t>Jodhpur</t>
        </is>
      </c>
      <c r="Z27" s="21" t="inlineStr">
        <is>
          <t>Rajasthan</t>
        </is>
      </c>
      <c r="AA27" s="21" t="inlineStr">
        <is>
          <t>342030</t>
        </is>
      </c>
      <c r="AB27" s="24" t="inlineStr">
        <is>
          <t>Official Cohort Registry (IIT Jodhpur MedTech Portal)</t>
        </is>
      </c>
    </row>
    <row r="28" ht="20" customHeight="1">
      <c r="A28" s="27" t="n">
        <v>24</v>
      </c>
      <c r="B28" s="28" t="inlineStr">
        <is>
          <t>M24IM1003</t>
        </is>
      </c>
      <c r="C28" s="29" t="inlineStr">
        <is>
          <t>Pranav Kumar Tak</t>
        </is>
      </c>
      <c r="D28" s="27" t="inlineStr">
        <is>
          <t>Masters</t>
        </is>
      </c>
      <c r="E28" s="30" t="inlineStr">
        <is>
          <t>M.Tech in Medical Technology</t>
        </is>
      </c>
      <c r="F28" s="27" t="n">
        <v>2024</v>
      </c>
      <c r="G28" s="27" t="n">
        <v>2026</v>
      </c>
      <c r="H28" s="31" t="inlineStr">
        <is>
          <t>Active</t>
        </is>
      </c>
      <c r="I28" s="30" t="inlineStr">
        <is>
          <t>Medical Technology</t>
        </is>
      </c>
      <c r="J28" s="30" t="inlineStr">
        <is>
          <t>Faculty Board (IDRP / AIIMS-IIT Joint)</t>
        </is>
      </c>
      <c r="K28" s="30" t="inlineStr">
        <is>
          <t>m24im1003@iitj.ac.in</t>
        </is>
      </c>
      <c r="L28" s="27" t="inlineStr">
        <is>
          <t>-</t>
        </is>
      </c>
      <c r="M28" s="27" t="n">
        <v>0</v>
      </c>
      <c r="N28" s="30" t="inlineStr">
        <is>
          <t>-</t>
        </is>
      </c>
      <c r="O28" s="27" t="n">
        <v>0</v>
      </c>
      <c r="P28" s="30" t="inlineStr">
        <is>
          <t>-</t>
        </is>
      </c>
      <c r="Q28" s="27" t="n">
        <v>0</v>
      </c>
      <c r="R28" s="30" t="inlineStr">
        <is>
          <t>-</t>
        </is>
      </c>
      <c r="S28" s="26" t="n">
        <v>1</v>
      </c>
      <c r="T28" s="30" t="inlineStr">
        <is>
          <t>Genpact Master Student Fellowship</t>
        </is>
      </c>
      <c r="U28" s="27" t="inlineStr">
        <is>
          <t>-</t>
        </is>
      </c>
      <c r="V28" s="27" t="inlineStr">
        <is>
          <t>-</t>
        </is>
      </c>
      <c r="W28" s="30" t="inlineStr">
        <is>
          <t>Centre for Medical Technologies (IDRP)</t>
        </is>
      </c>
      <c r="X28" s="30" t="inlineStr">
        <is>
          <t>IIT Jodhpur Permanent Campus, NH 62, Karwar</t>
        </is>
      </c>
      <c r="Y28" s="27" t="inlineStr">
        <is>
          <t>Jodhpur</t>
        </is>
      </c>
      <c r="Z28" s="27" t="inlineStr">
        <is>
          <t>Rajasthan</t>
        </is>
      </c>
      <c r="AA28" s="27" t="inlineStr">
        <is>
          <t>342030</t>
        </is>
      </c>
      <c r="AB28" s="30" t="inlineStr">
        <is>
          <t>Official Cohort Registry (IIT Jodhpur MedTech Portal)</t>
        </is>
      </c>
    </row>
    <row r="29" ht="20" customHeight="1">
      <c r="A29" s="21" t="n">
        <v>25</v>
      </c>
      <c r="B29" s="22" t="inlineStr">
        <is>
          <t>M24IM1004</t>
        </is>
      </c>
      <c r="C29" s="23" t="inlineStr">
        <is>
          <t>Prashansha Agarwal</t>
        </is>
      </c>
      <c r="D29" s="21" t="inlineStr">
        <is>
          <t>Masters</t>
        </is>
      </c>
      <c r="E29" s="24" t="inlineStr">
        <is>
          <t>M.Tech in Medical Technology</t>
        </is>
      </c>
      <c r="F29" s="21" t="n">
        <v>2024</v>
      </c>
      <c r="G29" s="21" t="n">
        <v>2026</v>
      </c>
      <c r="H29" s="31" t="inlineStr">
        <is>
          <t>Active</t>
        </is>
      </c>
      <c r="I29" s="24" t="inlineStr">
        <is>
          <t>Medical Technology</t>
        </is>
      </c>
      <c r="J29" s="24" t="inlineStr">
        <is>
          <t>Faculty Board (IDRP / AIIMS-IIT Joint)</t>
        </is>
      </c>
      <c r="K29" s="24" t="inlineStr">
        <is>
          <t>m24im1004@iitj.ac.in</t>
        </is>
      </c>
      <c r="L29" s="21" t="inlineStr">
        <is>
          <t>-</t>
        </is>
      </c>
      <c r="M29" s="21" t="n">
        <v>0</v>
      </c>
      <c r="N29" s="24" t="inlineStr">
        <is>
          <t>-</t>
        </is>
      </c>
      <c r="O29" s="21" t="n">
        <v>0</v>
      </c>
      <c r="P29" s="24" t="inlineStr">
        <is>
          <t>-</t>
        </is>
      </c>
      <c r="Q29" s="21" t="n">
        <v>0</v>
      </c>
      <c r="R29" s="24" t="inlineStr">
        <is>
          <t>-</t>
        </is>
      </c>
      <c r="S29" s="21" t="n">
        <v>0</v>
      </c>
      <c r="T29" s="24" t="inlineStr">
        <is>
          <t>-</t>
        </is>
      </c>
      <c r="U29" s="21" t="inlineStr">
        <is>
          <t>-</t>
        </is>
      </c>
      <c r="V29" s="21" t="inlineStr">
        <is>
          <t>-</t>
        </is>
      </c>
      <c r="W29" s="24" t="inlineStr">
        <is>
          <t>Centre for Medical Technologies (IDRP)</t>
        </is>
      </c>
      <c r="X29" s="24" t="inlineStr">
        <is>
          <t>IIT Jodhpur Permanent Campus, NH 62, Karwar</t>
        </is>
      </c>
      <c r="Y29" s="21" t="inlineStr">
        <is>
          <t>Jodhpur</t>
        </is>
      </c>
      <c r="Z29" s="21" t="inlineStr">
        <is>
          <t>Rajasthan</t>
        </is>
      </c>
      <c r="AA29" s="21" t="inlineStr">
        <is>
          <t>342030</t>
        </is>
      </c>
      <c r="AB29" s="24" t="inlineStr">
        <is>
          <t>Official Cohort Registry (IIT Jodhpur MedTech Portal)</t>
        </is>
      </c>
    </row>
    <row r="30" ht="20" customHeight="1">
      <c r="A30" s="27" t="n">
        <v>26</v>
      </c>
      <c r="B30" s="28" t="inlineStr">
        <is>
          <t>M24IM1005</t>
        </is>
      </c>
      <c r="C30" s="29" t="inlineStr">
        <is>
          <t>Ritika Jajoriya</t>
        </is>
      </c>
      <c r="D30" s="27" t="inlineStr">
        <is>
          <t>Masters</t>
        </is>
      </c>
      <c r="E30" s="30" t="inlineStr">
        <is>
          <t>M.Tech in Medical Technology</t>
        </is>
      </c>
      <c r="F30" s="27" t="n">
        <v>2024</v>
      </c>
      <c r="G30" s="27" t="n">
        <v>2026</v>
      </c>
      <c r="H30" s="31" t="inlineStr">
        <is>
          <t>Active</t>
        </is>
      </c>
      <c r="I30" s="30" t="inlineStr">
        <is>
          <t>Nanomedicine &amp; Microfluidic Biosensors</t>
        </is>
      </c>
      <c r="J30" s="30" t="inlineStr">
        <is>
          <t>Dr. Ankur Gupta (IIT Jodhpur)</t>
        </is>
      </c>
      <c r="K30" s="30" t="inlineStr">
        <is>
          <t>m24im1005@iitj.ac.in</t>
        </is>
      </c>
      <c r="L30" s="27" t="inlineStr">
        <is>
          <t>+91 98281 23456</t>
        </is>
      </c>
      <c r="M30" s="26" t="n">
        <v>4</v>
      </c>
      <c r="N30" s="30" t="inlineStr">
        <is>
          <t>1 Journals, 2 Conferences, 1 Books. Venues: 1.IEEE xplore (IEEE NANOMED Conference 2025) ; 1.IEEE xplore (IEEE NANOMED CONFERENCE 2025)  (Co-Author) | Paper: "Electrochemical Micro-Immuno Sensor for Ultra-Low Concentration Clinical Biomarker Quantification"</t>
        </is>
      </c>
      <c r="O30" s="27" t="n">
        <v>0</v>
      </c>
      <c r="P30" s="30" t="inlineStr">
        <is>
          <t>-</t>
        </is>
      </c>
      <c r="Q30" s="27" t="n">
        <v>0</v>
      </c>
      <c r="R30" s="30" t="inlineStr">
        <is>
          <t>-</t>
        </is>
      </c>
      <c r="S30" s="27" t="n">
        <v>0</v>
      </c>
      <c r="T30" s="30" t="inlineStr">
        <is>
          <t>-</t>
        </is>
      </c>
      <c r="U30" s="27" t="inlineStr">
        <is>
          <t>2001-03-12</t>
        </is>
      </c>
      <c r="V30" s="27" t="inlineStr">
        <is>
          <t>Female</t>
        </is>
      </c>
      <c r="W30" s="30" t="inlineStr">
        <is>
          <t>Centre for Medical Technologies (IDRP)</t>
        </is>
      </c>
      <c r="X30" s="30" t="inlineStr">
        <is>
          <t>Hostel G-2, Room 104, IIT Jodhpur Campus</t>
        </is>
      </c>
      <c r="Y30" s="27" t="inlineStr">
        <is>
          <t>Jodhpur</t>
        </is>
      </c>
      <c r="Z30" s="27" t="inlineStr">
        <is>
          <t>Rajasthan</t>
        </is>
      </c>
      <c r="AA30" s="27" t="inlineStr">
        <is>
          <t>342030</t>
        </is>
      </c>
      <c r="AB30" s="30" t="inlineStr">
        <is>
          <t>Official Cohort Registry (IIT Jodhpur MedTech Portal)</t>
        </is>
      </c>
    </row>
    <row r="31" ht="20" customHeight="1">
      <c r="A31" s="21" t="n">
        <v>27</v>
      </c>
      <c r="B31" s="22" t="inlineStr">
        <is>
          <t>M24IM1006</t>
        </is>
      </c>
      <c r="C31" s="23" t="inlineStr">
        <is>
          <t>Shibashish Samantaray</t>
        </is>
      </c>
      <c r="D31" s="21" t="inlineStr">
        <is>
          <t>Masters</t>
        </is>
      </c>
      <c r="E31" s="24" t="inlineStr">
        <is>
          <t>M.Tech in Medical Technology</t>
        </is>
      </c>
      <c r="F31" s="21" t="n">
        <v>2024</v>
      </c>
      <c r="G31" s="21" t="n">
        <v>2026</v>
      </c>
      <c r="H31" s="31" t="inlineStr">
        <is>
          <t>Active</t>
        </is>
      </c>
      <c r="I31" s="24" t="inlineStr">
        <is>
          <t>Medical Technology</t>
        </is>
      </c>
      <c r="J31" s="24" t="inlineStr">
        <is>
          <t>Faculty Board (IDRP / AIIMS-IIT Joint)</t>
        </is>
      </c>
      <c r="K31" s="24" t="inlineStr">
        <is>
          <t>m24im1006@iitj.ac.in</t>
        </is>
      </c>
      <c r="L31" s="21" t="inlineStr">
        <is>
          <t>-</t>
        </is>
      </c>
      <c r="M31" s="21" t="n">
        <v>0</v>
      </c>
      <c r="N31" s="24" t="inlineStr">
        <is>
          <t>-</t>
        </is>
      </c>
      <c r="O31" s="21" t="n">
        <v>0</v>
      </c>
      <c r="P31" s="24" t="inlineStr">
        <is>
          <t>-</t>
        </is>
      </c>
      <c r="Q31" s="21" t="n">
        <v>0</v>
      </c>
      <c r="R31" s="24" t="inlineStr">
        <is>
          <t>-</t>
        </is>
      </c>
      <c r="S31" s="21" t="n">
        <v>0</v>
      </c>
      <c r="T31" s="24" t="inlineStr">
        <is>
          <t>-</t>
        </is>
      </c>
      <c r="U31" s="21" t="inlineStr">
        <is>
          <t>-</t>
        </is>
      </c>
      <c r="V31" s="21" t="inlineStr">
        <is>
          <t>-</t>
        </is>
      </c>
      <c r="W31" s="24" t="inlineStr">
        <is>
          <t>Centre for Medical Technologies (IDRP)</t>
        </is>
      </c>
      <c r="X31" s="24" t="inlineStr">
        <is>
          <t>IIT Jodhpur Permanent Campus, NH 62, Karwar</t>
        </is>
      </c>
      <c r="Y31" s="21" t="inlineStr">
        <is>
          <t>Jodhpur</t>
        </is>
      </c>
      <c r="Z31" s="21" t="inlineStr">
        <is>
          <t>Rajasthan</t>
        </is>
      </c>
      <c r="AA31" s="21" t="inlineStr">
        <is>
          <t>342030</t>
        </is>
      </c>
      <c r="AB31" s="24" t="inlineStr">
        <is>
          <t>Official Cohort Registry (IIT Jodhpur MedTech Portal)</t>
        </is>
      </c>
    </row>
    <row r="32" ht="20" customHeight="1">
      <c r="A32" s="27" t="n">
        <v>28</v>
      </c>
      <c r="B32" s="28" t="inlineStr">
        <is>
          <t>M24IM1007</t>
        </is>
      </c>
      <c r="C32" s="29" t="inlineStr">
        <is>
          <t>Sukesh Periyasamy</t>
        </is>
      </c>
      <c r="D32" s="27" t="inlineStr">
        <is>
          <t>Masters</t>
        </is>
      </c>
      <c r="E32" s="30" t="inlineStr">
        <is>
          <t>M.Tech in Medical Technology</t>
        </is>
      </c>
      <c r="F32" s="27" t="n">
        <v>2024</v>
      </c>
      <c r="G32" s="27" t="n">
        <v>2026</v>
      </c>
      <c r="H32" s="31" t="inlineStr">
        <is>
          <t>Active</t>
        </is>
      </c>
      <c r="I32" s="30" t="inlineStr">
        <is>
          <t>Microfluidic Diagnostics &amp; Point-of-Care Devices</t>
        </is>
      </c>
      <c r="J32" s="30" t="inlineStr">
        <is>
          <t>Prof. Surajit Ghosh (IIT Jodhpur)</t>
        </is>
      </c>
      <c r="K32" s="30" t="inlineStr">
        <is>
          <t>m24im1007@iitj.ac.in</t>
        </is>
      </c>
      <c r="L32" s="27" t="inlineStr">
        <is>
          <t>+91 94432 18765</t>
        </is>
      </c>
      <c r="M32" s="27" t="n">
        <v>0</v>
      </c>
      <c r="N32" s="30" t="inlineStr">
        <is>
          <t>-</t>
        </is>
      </c>
      <c r="O32" s="27" t="n">
        <v>0</v>
      </c>
      <c r="P32" s="30" t="inlineStr">
        <is>
          <t>-</t>
        </is>
      </c>
      <c r="Q32" s="27" t="n">
        <v>0</v>
      </c>
      <c r="R32" s="30" t="inlineStr">
        <is>
          <t>-</t>
        </is>
      </c>
      <c r="S32" s="27" t="n">
        <v>0</v>
      </c>
      <c r="T32" s="30" t="inlineStr">
        <is>
          <t>-</t>
        </is>
      </c>
      <c r="U32" s="27" t="inlineStr">
        <is>
          <t>2001-08-14</t>
        </is>
      </c>
      <c r="V32" s="27" t="inlineStr">
        <is>
          <t>Male</t>
        </is>
      </c>
      <c r="W32" s="30" t="inlineStr">
        <is>
          <t>Centre for Medical Technologies (IDRP)</t>
        </is>
      </c>
      <c r="X32" s="30" t="inlineStr">
        <is>
          <t>Hostel B-4, Room 312, IIT Jodhpur Campus</t>
        </is>
      </c>
      <c r="Y32" s="27" t="inlineStr">
        <is>
          <t>Jodhpur</t>
        </is>
      </c>
      <c r="Z32" s="27" t="inlineStr">
        <is>
          <t>Rajasthan</t>
        </is>
      </c>
      <c r="AA32" s="27" t="inlineStr">
        <is>
          <t>342030</t>
        </is>
      </c>
      <c r="AB32" s="30" t="inlineStr">
        <is>
          <t>Official Cohort Registry (IIT Jodhpur MedTech Portal)</t>
        </is>
      </c>
    </row>
    <row r="33" ht="20" customHeight="1">
      <c r="A33" s="21" t="n">
        <v>29</v>
      </c>
      <c r="B33" s="22" t="inlineStr">
        <is>
          <t>M25IM1001</t>
        </is>
      </c>
      <c r="C33" s="23" t="inlineStr">
        <is>
          <t>Patangiyawala Aafreen Mo Javed</t>
        </is>
      </c>
      <c r="D33" s="21" t="inlineStr">
        <is>
          <t>Masters</t>
        </is>
      </c>
      <c r="E33" s="24" t="inlineStr">
        <is>
          <t>M.Tech in Medical Technology</t>
        </is>
      </c>
      <c r="F33" s="21" t="n">
        <v>2025</v>
      </c>
      <c r="G33" s="21" t="n">
        <v>2027</v>
      </c>
      <c r="H33" s="31" t="inlineStr">
        <is>
          <t>Active</t>
        </is>
      </c>
      <c r="I33" s="24" t="inlineStr">
        <is>
          <t>Medical Technology</t>
        </is>
      </c>
      <c r="J33" s="24" t="inlineStr">
        <is>
          <t>Faculty Board (IDRP / AIIMS-IIT Joint)</t>
        </is>
      </c>
      <c r="K33" s="24" t="inlineStr">
        <is>
          <t>m25im1001@iitj.ac.in</t>
        </is>
      </c>
      <c r="L33" s="21" t="inlineStr">
        <is>
          <t>-</t>
        </is>
      </c>
      <c r="M33" s="21" t="n">
        <v>0</v>
      </c>
      <c r="N33" s="24" t="inlineStr">
        <is>
          <t>-</t>
        </is>
      </c>
      <c r="O33" s="21" t="n">
        <v>0</v>
      </c>
      <c r="P33" s="24" t="inlineStr">
        <is>
          <t>-</t>
        </is>
      </c>
      <c r="Q33" s="21" t="n">
        <v>0</v>
      </c>
      <c r="R33" s="24" t="inlineStr">
        <is>
          <t>-</t>
        </is>
      </c>
      <c r="S33" s="21" t="n">
        <v>0</v>
      </c>
      <c r="T33" s="24" t="inlineStr">
        <is>
          <t>-</t>
        </is>
      </c>
      <c r="U33" s="21" t="inlineStr">
        <is>
          <t>-</t>
        </is>
      </c>
      <c r="V33" s="21" t="inlineStr">
        <is>
          <t>-</t>
        </is>
      </c>
      <c r="W33" s="24" t="inlineStr">
        <is>
          <t>Centre for Medical Technologies (IDRP)</t>
        </is>
      </c>
      <c r="X33" s="24" t="inlineStr">
        <is>
          <t>IIT Jodhpur Permanent Campus, NH 62, Karwar</t>
        </is>
      </c>
      <c r="Y33" s="21" t="inlineStr">
        <is>
          <t>Jodhpur</t>
        </is>
      </c>
      <c r="Z33" s="21" t="inlineStr">
        <is>
          <t>Rajasthan</t>
        </is>
      </c>
      <c r="AA33" s="21" t="inlineStr">
        <is>
          <t>342030</t>
        </is>
      </c>
      <c r="AB33" s="24" t="inlineStr">
        <is>
          <t>Official Cohort Registry (IIT Jodhpur MedTech Portal)</t>
        </is>
      </c>
    </row>
    <row r="34" ht="20" customHeight="1">
      <c r="A34" s="27" t="n">
        <v>30</v>
      </c>
      <c r="B34" s="28" t="inlineStr">
        <is>
          <t>M25IM1002</t>
        </is>
      </c>
      <c r="C34" s="29" t="inlineStr">
        <is>
          <t>Chavan Prathamesh Prakash</t>
        </is>
      </c>
      <c r="D34" s="27" t="inlineStr">
        <is>
          <t>Masters</t>
        </is>
      </c>
      <c r="E34" s="30" t="inlineStr">
        <is>
          <t>M.Tech in Medical Technology</t>
        </is>
      </c>
      <c r="F34" s="27" t="n">
        <v>2025</v>
      </c>
      <c r="G34" s="27" t="n">
        <v>2027</v>
      </c>
      <c r="H34" s="31" t="inlineStr">
        <is>
          <t>Active</t>
        </is>
      </c>
      <c r="I34" s="30" t="inlineStr">
        <is>
          <t>Medical Technology</t>
        </is>
      </c>
      <c r="J34" s="30" t="inlineStr">
        <is>
          <t>Faculty Board (IDRP / AIIMS-IIT Joint)</t>
        </is>
      </c>
      <c r="K34" s="30" t="inlineStr">
        <is>
          <t>m25im1002@iitj.ac.in</t>
        </is>
      </c>
      <c r="L34" s="27" t="inlineStr">
        <is>
          <t>-</t>
        </is>
      </c>
      <c r="M34" s="27" t="n">
        <v>0</v>
      </c>
      <c r="N34" s="30" t="inlineStr">
        <is>
          <t>-</t>
        </is>
      </c>
      <c r="O34" s="27" t="n">
        <v>0</v>
      </c>
      <c r="P34" s="30" t="inlineStr">
        <is>
          <t>-</t>
        </is>
      </c>
      <c r="Q34" s="27" t="n">
        <v>0</v>
      </c>
      <c r="R34" s="30" t="inlineStr">
        <is>
          <t>-</t>
        </is>
      </c>
      <c r="S34" s="27" t="n">
        <v>0</v>
      </c>
      <c r="T34" s="30" t="inlineStr">
        <is>
          <t>-</t>
        </is>
      </c>
      <c r="U34" s="27" t="inlineStr">
        <is>
          <t>-</t>
        </is>
      </c>
      <c r="V34" s="27" t="inlineStr">
        <is>
          <t>-</t>
        </is>
      </c>
      <c r="W34" s="30" t="inlineStr">
        <is>
          <t>Centre for Medical Technologies (IDRP)</t>
        </is>
      </c>
      <c r="X34" s="30" t="inlineStr">
        <is>
          <t>IIT Jodhpur Permanent Campus, NH 62, Karwar</t>
        </is>
      </c>
      <c r="Y34" s="27" t="inlineStr">
        <is>
          <t>Jodhpur</t>
        </is>
      </c>
      <c r="Z34" s="27" t="inlineStr">
        <is>
          <t>Rajasthan</t>
        </is>
      </c>
      <c r="AA34" s="27" t="inlineStr">
        <is>
          <t>342030</t>
        </is>
      </c>
      <c r="AB34" s="30" t="inlineStr">
        <is>
          <t>Official Cohort Registry (IIT Jodhpur MedTech Portal)</t>
        </is>
      </c>
    </row>
    <row r="35" ht="20" customHeight="1">
      <c r="A35" s="21" t="n">
        <v>31</v>
      </c>
      <c r="B35" s="22" t="inlineStr">
        <is>
          <t>M25IM1003</t>
        </is>
      </c>
      <c r="C35" s="23" t="inlineStr">
        <is>
          <t>Deepika Sharma</t>
        </is>
      </c>
      <c r="D35" s="21" t="inlineStr">
        <is>
          <t>Masters</t>
        </is>
      </c>
      <c r="E35" s="24" t="inlineStr">
        <is>
          <t>M.Tech in Medical Technology</t>
        </is>
      </c>
      <c r="F35" s="21" t="n">
        <v>2025</v>
      </c>
      <c r="G35" s="21" t="n">
        <v>2027</v>
      </c>
      <c r="H35" s="31" t="inlineStr">
        <is>
          <t>Active</t>
        </is>
      </c>
      <c r="I35" s="24" t="inlineStr">
        <is>
          <t>Medical Technology</t>
        </is>
      </c>
      <c r="J35" s="24" t="inlineStr">
        <is>
          <t>Faculty Board (IDRP / AIIMS-IIT Joint)</t>
        </is>
      </c>
      <c r="K35" s="24" t="inlineStr">
        <is>
          <t>m25im1003@iitj.ac.in</t>
        </is>
      </c>
      <c r="L35" s="21" t="inlineStr">
        <is>
          <t>-</t>
        </is>
      </c>
      <c r="M35" s="21" t="n">
        <v>0</v>
      </c>
      <c r="N35" s="24" t="inlineStr">
        <is>
          <t>-</t>
        </is>
      </c>
      <c r="O35" s="21" t="n">
        <v>0</v>
      </c>
      <c r="P35" s="24" t="inlineStr">
        <is>
          <t>-</t>
        </is>
      </c>
      <c r="Q35" s="21" t="n">
        <v>0</v>
      </c>
      <c r="R35" s="24" t="inlineStr">
        <is>
          <t>-</t>
        </is>
      </c>
      <c r="S35" s="21" t="n">
        <v>0</v>
      </c>
      <c r="T35" s="24" t="inlineStr">
        <is>
          <t>-</t>
        </is>
      </c>
      <c r="U35" s="21" t="inlineStr">
        <is>
          <t>-</t>
        </is>
      </c>
      <c r="V35" s="21" t="inlineStr">
        <is>
          <t>-</t>
        </is>
      </c>
      <c r="W35" s="24" t="inlineStr">
        <is>
          <t>Centre for Medical Technologies (IDRP)</t>
        </is>
      </c>
      <c r="X35" s="24" t="inlineStr">
        <is>
          <t>IIT Jodhpur Permanent Campus, NH 62, Karwar</t>
        </is>
      </c>
      <c r="Y35" s="21" t="inlineStr">
        <is>
          <t>Jodhpur</t>
        </is>
      </c>
      <c r="Z35" s="21" t="inlineStr">
        <is>
          <t>Rajasthan</t>
        </is>
      </c>
      <c r="AA35" s="21" t="inlineStr">
        <is>
          <t>342030</t>
        </is>
      </c>
      <c r="AB35" s="24" t="inlineStr">
        <is>
          <t>Official Cohort Registry (IIT Jodhpur MedTech Portal)</t>
        </is>
      </c>
    </row>
    <row r="36" ht="20" customHeight="1">
      <c r="A36" s="27" t="n">
        <v>32</v>
      </c>
      <c r="B36" s="28" t="inlineStr">
        <is>
          <t>M25IM1004</t>
        </is>
      </c>
      <c r="C36" s="29" t="inlineStr">
        <is>
          <t>Jadav Ravi Mansukhbhai</t>
        </is>
      </c>
      <c r="D36" s="27" t="inlineStr">
        <is>
          <t>Masters</t>
        </is>
      </c>
      <c r="E36" s="30" t="inlineStr">
        <is>
          <t>M.Tech in Medical Technology</t>
        </is>
      </c>
      <c r="F36" s="27" t="n">
        <v>2025</v>
      </c>
      <c r="G36" s="27" t="n">
        <v>2027</v>
      </c>
      <c r="H36" s="31" t="inlineStr">
        <is>
          <t>Active</t>
        </is>
      </c>
      <c r="I36" s="30" t="inlineStr">
        <is>
          <t>Medical Technology</t>
        </is>
      </c>
      <c r="J36" s="30" t="inlineStr">
        <is>
          <t>Faculty Board (IDRP / AIIMS-IIT Joint)</t>
        </is>
      </c>
      <c r="K36" s="30" t="inlineStr">
        <is>
          <t>m25im1004@iitj.ac.in</t>
        </is>
      </c>
      <c r="L36" s="27" t="inlineStr">
        <is>
          <t>-</t>
        </is>
      </c>
      <c r="M36" s="27" t="n">
        <v>0</v>
      </c>
      <c r="N36" s="30" t="inlineStr">
        <is>
          <t>-</t>
        </is>
      </c>
      <c r="O36" s="27" t="n">
        <v>0</v>
      </c>
      <c r="P36" s="30" t="inlineStr">
        <is>
          <t>-</t>
        </is>
      </c>
      <c r="Q36" s="27" t="n">
        <v>0</v>
      </c>
      <c r="R36" s="30" t="inlineStr">
        <is>
          <t>-</t>
        </is>
      </c>
      <c r="S36" s="27" t="n">
        <v>0</v>
      </c>
      <c r="T36" s="30" t="inlineStr">
        <is>
          <t>-</t>
        </is>
      </c>
      <c r="U36" s="27" t="inlineStr">
        <is>
          <t>-</t>
        </is>
      </c>
      <c r="V36" s="27" t="inlineStr">
        <is>
          <t>-</t>
        </is>
      </c>
      <c r="W36" s="30" t="inlineStr">
        <is>
          <t>Centre for Medical Technologies (IDRP)</t>
        </is>
      </c>
      <c r="X36" s="30" t="inlineStr">
        <is>
          <t>IIT Jodhpur Permanent Campus, NH 62, Karwar</t>
        </is>
      </c>
      <c r="Y36" s="27" t="inlineStr">
        <is>
          <t>Jodhpur</t>
        </is>
      </c>
      <c r="Z36" s="27" t="inlineStr">
        <is>
          <t>Rajasthan</t>
        </is>
      </c>
      <c r="AA36" s="27" t="inlineStr">
        <is>
          <t>342030</t>
        </is>
      </c>
      <c r="AB36" s="30" t="inlineStr">
        <is>
          <t>Official Cohort Registry (IIT Jodhpur MedTech Portal)</t>
        </is>
      </c>
    </row>
    <row r="37" ht="20" customHeight="1">
      <c r="A37" s="21" t="n">
        <v>33</v>
      </c>
      <c r="B37" s="22" t="inlineStr">
        <is>
          <t>M25IM1005</t>
        </is>
      </c>
      <c r="C37" s="23" t="inlineStr">
        <is>
          <t>Jibin Varghese</t>
        </is>
      </c>
      <c r="D37" s="21" t="inlineStr">
        <is>
          <t>Masters</t>
        </is>
      </c>
      <c r="E37" s="24" t="inlineStr">
        <is>
          <t>M.Tech in Medical Technology</t>
        </is>
      </c>
      <c r="F37" s="21" t="n">
        <v>2025</v>
      </c>
      <c r="G37" s="21" t="n">
        <v>2027</v>
      </c>
      <c r="H37" s="31" t="inlineStr">
        <is>
          <t>Active</t>
        </is>
      </c>
      <c r="I37" s="24" t="inlineStr">
        <is>
          <t>Medical Technology</t>
        </is>
      </c>
      <c r="J37" s="24" t="inlineStr">
        <is>
          <t>Faculty Board (IDRP / AIIMS-IIT Joint)</t>
        </is>
      </c>
      <c r="K37" s="24" t="inlineStr">
        <is>
          <t>m25im1005@iitj.ac.in</t>
        </is>
      </c>
      <c r="L37" s="21" t="inlineStr">
        <is>
          <t>-</t>
        </is>
      </c>
      <c r="M37" s="21" t="n">
        <v>0</v>
      </c>
      <c r="N37" s="24" t="inlineStr">
        <is>
          <t>-</t>
        </is>
      </c>
      <c r="O37" s="21" t="n">
        <v>0</v>
      </c>
      <c r="P37" s="24" t="inlineStr">
        <is>
          <t>-</t>
        </is>
      </c>
      <c r="Q37" s="21" t="n">
        <v>0</v>
      </c>
      <c r="R37" s="24" t="inlineStr">
        <is>
          <t>-</t>
        </is>
      </c>
      <c r="S37" s="21" t="n">
        <v>0</v>
      </c>
      <c r="T37" s="24" t="inlineStr">
        <is>
          <t>-</t>
        </is>
      </c>
      <c r="U37" s="21" t="inlineStr">
        <is>
          <t>-</t>
        </is>
      </c>
      <c r="V37" s="21" t="inlineStr">
        <is>
          <t>-</t>
        </is>
      </c>
      <c r="W37" s="24" t="inlineStr">
        <is>
          <t>Centre for Medical Technologies (IDRP)</t>
        </is>
      </c>
      <c r="X37" s="24" t="inlineStr">
        <is>
          <t>IIT Jodhpur Permanent Campus, NH 62, Karwar</t>
        </is>
      </c>
      <c r="Y37" s="21" t="inlineStr">
        <is>
          <t>Jodhpur</t>
        </is>
      </c>
      <c r="Z37" s="21" t="inlineStr">
        <is>
          <t>Rajasthan</t>
        </is>
      </c>
      <c r="AA37" s="21" t="inlineStr">
        <is>
          <t>342030</t>
        </is>
      </c>
      <c r="AB37" s="24" t="inlineStr">
        <is>
          <t>Official Cohort Registry (IIT Jodhpur MedTech Portal)</t>
        </is>
      </c>
    </row>
    <row r="38" ht="20" customHeight="1">
      <c r="A38" s="27" t="n">
        <v>34</v>
      </c>
      <c r="B38" s="28" t="inlineStr">
        <is>
          <t>M25IM1006</t>
        </is>
      </c>
      <c r="C38" s="29" t="inlineStr">
        <is>
          <t>Kadiya Arth Pareshkumar</t>
        </is>
      </c>
      <c r="D38" s="27" t="inlineStr">
        <is>
          <t>Masters</t>
        </is>
      </c>
      <c r="E38" s="30" t="inlineStr">
        <is>
          <t>M.Tech in Medical Technology</t>
        </is>
      </c>
      <c r="F38" s="27" t="n">
        <v>2025</v>
      </c>
      <c r="G38" s="27" t="n">
        <v>2027</v>
      </c>
      <c r="H38" s="31" t="inlineStr">
        <is>
          <t>Active</t>
        </is>
      </c>
      <c r="I38" s="30" t="inlineStr">
        <is>
          <t>Medical Technology</t>
        </is>
      </c>
      <c r="J38" s="30" t="inlineStr">
        <is>
          <t>Faculty Board (IDRP / AIIMS-IIT Joint)</t>
        </is>
      </c>
      <c r="K38" s="30" t="inlineStr">
        <is>
          <t>m25im1006@iitj.ac.in</t>
        </is>
      </c>
      <c r="L38" s="27" t="inlineStr">
        <is>
          <t>-</t>
        </is>
      </c>
      <c r="M38" s="27" t="n">
        <v>0</v>
      </c>
      <c r="N38" s="30" t="inlineStr">
        <is>
          <t>-</t>
        </is>
      </c>
      <c r="O38" s="27" t="n">
        <v>0</v>
      </c>
      <c r="P38" s="30" t="inlineStr">
        <is>
          <t>-</t>
        </is>
      </c>
      <c r="Q38" s="27" t="n">
        <v>0</v>
      </c>
      <c r="R38" s="30" t="inlineStr">
        <is>
          <t>-</t>
        </is>
      </c>
      <c r="S38" s="27" t="n">
        <v>0</v>
      </c>
      <c r="T38" s="30" t="inlineStr">
        <is>
          <t>-</t>
        </is>
      </c>
      <c r="U38" s="27" t="inlineStr">
        <is>
          <t>-</t>
        </is>
      </c>
      <c r="V38" s="27" t="inlineStr">
        <is>
          <t>-</t>
        </is>
      </c>
      <c r="W38" s="30" t="inlineStr">
        <is>
          <t>Centre for Medical Technologies (IDRP)</t>
        </is>
      </c>
      <c r="X38" s="30" t="inlineStr">
        <is>
          <t>IIT Jodhpur Permanent Campus, NH 62, Karwar</t>
        </is>
      </c>
      <c r="Y38" s="27" t="inlineStr">
        <is>
          <t>Jodhpur</t>
        </is>
      </c>
      <c r="Z38" s="27" t="inlineStr">
        <is>
          <t>Rajasthan</t>
        </is>
      </c>
      <c r="AA38" s="27" t="inlineStr">
        <is>
          <t>342030</t>
        </is>
      </c>
      <c r="AB38" s="30" t="inlineStr">
        <is>
          <t>Official Cohort Registry (IIT Jodhpur MedTech Portal)</t>
        </is>
      </c>
    </row>
    <row r="39" ht="20" customHeight="1">
      <c r="A39" s="21" t="n">
        <v>35</v>
      </c>
      <c r="B39" s="22" t="inlineStr">
        <is>
          <t>M25IM1007</t>
        </is>
      </c>
      <c r="C39" s="23" t="inlineStr">
        <is>
          <t>Neil Lohit Bose</t>
        </is>
      </c>
      <c r="D39" s="21" t="inlineStr">
        <is>
          <t>Masters</t>
        </is>
      </c>
      <c r="E39" s="24" t="inlineStr">
        <is>
          <t>M.Tech in Medical Technology</t>
        </is>
      </c>
      <c r="F39" s="21" t="n">
        <v>2025</v>
      </c>
      <c r="G39" s="21" t="n">
        <v>2027</v>
      </c>
      <c r="H39" s="31" t="inlineStr">
        <is>
          <t>Active</t>
        </is>
      </c>
      <c r="I39" s="24" t="inlineStr">
        <is>
          <t>Medical Technology</t>
        </is>
      </c>
      <c r="J39" s="24" t="inlineStr">
        <is>
          <t>Faculty Board (IDRP / AIIMS-IIT Joint)</t>
        </is>
      </c>
      <c r="K39" s="24" t="inlineStr">
        <is>
          <t>m25im1007@iitj.ac.in</t>
        </is>
      </c>
      <c r="L39" s="21" t="inlineStr">
        <is>
          <t>-</t>
        </is>
      </c>
      <c r="M39" s="21" t="n">
        <v>0</v>
      </c>
      <c r="N39" s="24" t="inlineStr">
        <is>
          <t>-</t>
        </is>
      </c>
      <c r="O39" s="21" t="n">
        <v>0</v>
      </c>
      <c r="P39" s="24" t="inlineStr">
        <is>
          <t>-</t>
        </is>
      </c>
      <c r="Q39" s="21" t="n">
        <v>0</v>
      </c>
      <c r="R39" s="24" t="inlineStr">
        <is>
          <t>-</t>
        </is>
      </c>
      <c r="S39" s="21" t="n">
        <v>0</v>
      </c>
      <c r="T39" s="24" t="inlineStr">
        <is>
          <t>-</t>
        </is>
      </c>
      <c r="U39" s="21" t="inlineStr">
        <is>
          <t>-</t>
        </is>
      </c>
      <c r="V39" s="21" t="inlineStr">
        <is>
          <t>-</t>
        </is>
      </c>
      <c r="W39" s="24" t="inlineStr">
        <is>
          <t>Centre for Medical Technologies (IDRP)</t>
        </is>
      </c>
      <c r="X39" s="24" t="inlineStr">
        <is>
          <t>IIT Jodhpur Permanent Campus, NH 62, Karwar</t>
        </is>
      </c>
      <c r="Y39" s="21" t="inlineStr">
        <is>
          <t>Jodhpur</t>
        </is>
      </c>
      <c r="Z39" s="21" t="inlineStr">
        <is>
          <t>Rajasthan</t>
        </is>
      </c>
      <c r="AA39" s="21" t="inlineStr">
        <is>
          <t>342030</t>
        </is>
      </c>
      <c r="AB39" s="24" t="inlineStr">
        <is>
          <t>Official Cohort Registry (IIT Jodhpur MedTech Portal)</t>
        </is>
      </c>
    </row>
    <row r="40" ht="20" customHeight="1">
      <c r="A40" s="27" t="n">
        <v>36</v>
      </c>
      <c r="B40" s="28" t="inlineStr">
        <is>
          <t>M25IM1008</t>
        </is>
      </c>
      <c r="C40" s="29" t="inlineStr">
        <is>
          <t>Rahul Parmar</t>
        </is>
      </c>
      <c r="D40" s="27" t="inlineStr">
        <is>
          <t>Masters</t>
        </is>
      </c>
      <c r="E40" s="30" t="inlineStr">
        <is>
          <t>M.Tech in Medical Technology</t>
        </is>
      </c>
      <c r="F40" s="27" t="n">
        <v>2025</v>
      </c>
      <c r="G40" s="27" t="n">
        <v>2027</v>
      </c>
      <c r="H40" s="31" t="inlineStr">
        <is>
          <t>Active</t>
        </is>
      </c>
      <c r="I40" s="30" t="inlineStr">
        <is>
          <t>Medical Technology</t>
        </is>
      </c>
      <c r="J40" s="30" t="inlineStr">
        <is>
          <t>Faculty Board (IDRP / AIIMS-IIT Joint)</t>
        </is>
      </c>
      <c r="K40" s="30" t="inlineStr">
        <is>
          <t>m25im1008@iitj.ac.in</t>
        </is>
      </c>
      <c r="L40" s="27" t="inlineStr">
        <is>
          <t>-</t>
        </is>
      </c>
      <c r="M40" s="27" t="n">
        <v>0</v>
      </c>
      <c r="N40" s="30" t="inlineStr">
        <is>
          <t>-</t>
        </is>
      </c>
      <c r="O40" s="27" t="n">
        <v>0</v>
      </c>
      <c r="P40" s="30" t="inlineStr">
        <is>
          <t>-</t>
        </is>
      </c>
      <c r="Q40" s="27" t="n">
        <v>0</v>
      </c>
      <c r="R40" s="30" t="inlineStr">
        <is>
          <t>-</t>
        </is>
      </c>
      <c r="S40" s="26" t="n">
        <v>1</v>
      </c>
      <c r="T40" s="30" t="inlineStr">
        <is>
          <t>1st position, iStart Rajasthan pitch</t>
        </is>
      </c>
      <c r="U40" s="27" t="inlineStr">
        <is>
          <t>-</t>
        </is>
      </c>
      <c r="V40" s="27" t="inlineStr">
        <is>
          <t>-</t>
        </is>
      </c>
      <c r="W40" s="30" t="inlineStr">
        <is>
          <t>Centre for Medical Technologies (IDRP)</t>
        </is>
      </c>
      <c r="X40" s="30" t="inlineStr">
        <is>
          <t>IIT Jodhpur Permanent Campus, NH 62, Karwar</t>
        </is>
      </c>
      <c r="Y40" s="27" t="inlineStr">
        <is>
          <t>Jodhpur</t>
        </is>
      </c>
      <c r="Z40" s="27" t="inlineStr">
        <is>
          <t>Rajasthan</t>
        </is>
      </c>
      <c r="AA40" s="27" t="inlineStr">
        <is>
          <t>342030</t>
        </is>
      </c>
      <c r="AB40" s="30" t="inlineStr">
        <is>
          <t>Official Cohort Registry (IIT Jodhpur MedTech Portal)</t>
        </is>
      </c>
    </row>
    <row r="41" ht="20" customHeight="1">
      <c r="A41" s="21" t="n">
        <v>37</v>
      </c>
      <c r="B41" s="22" t="inlineStr">
        <is>
          <t>M25IM1009</t>
        </is>
      </c>
      <c r="C41" s="23" t="inlineStr">
        <is>
          <t>Komal Meena</t>
        </is>
      </c>
      <c r="D41" s="21" t="inlineStr">
        <is>
          <t>Masters</t>
        </is>
      </c>
      <c r="E41" s="24" t="inlineStr">
        <is>
          <t>M.Tech in Medical Technology</t>
        </is>
      </c>
      <c r="F41" s="21" t="n">
        <v>2025</v>
      </c>
      <c r="G41" s="21" t="n">
        <v>2027</v>
      </c>
      <c r="H41" s="31" t="inlineStr">
        <is>
          <t>Active</t>
        </is>
      </c>
      <c r="I41" s="24" t="inlineStr">
        <is>
          <t>Medical Technology</t>
        </is>
      </c>
      <c r="J41" s="24" t="inlineStr">
        <is>
          <t>Faculty Board (IDRP / AIIMS-IIT Joint)</t>
        </is>
      </c>
      <c r="K41" s="24" t="inlineStr">
        <is>
          <t>m25im1009@iitj.ac.in</t>
        </is>
      </c>
      <c r="L41" s="21" t="inlineStr">
        <is>
          <t>-</t>
        </is>
      </c>
      <c r="M41" s="21" t="n">
        <v>0</v>
      </c>
      <c r="N41" s="24" t="inlineStr">
        <is>
          <t>-</t>
        </is>
      </c>
      <c r="O41" s="21" t="n">
        <v>0</v>
      </c>
      <c r="P41" s="24" t="inlineStr">
        <is>
          <t>-</t>
        </is>
      </c>
      <c r="Q41" s="21" t="n">
        <v>0</v>
      </c>
      <c r="R41" s="24" t="inlineStr">
        <is>
          <t>-</t>
        </is>
      </c>
      <c r="S41" s="21" t="n">
        <v>0</v>
      </c>
      <c r="T41" s="24" t="inlineStr">
        <is>
          <t>-</t>
        </is>
      </c>
      <c r="U41" s="21" t="inlineStr">
        <is>
          <t>-</t>
        </is>
      </c>
      <c r="V41" s="21" t="inlineStr">
        <is>
          <t>-</t>
        </is>
      </c>
      <c r="W41" s="24" t="inlineStr">
        <is>
          <t>Centre for Medical Technologies (IDRP)</t>
        </is>
      </c>
      <c r="X41" s="24" t="inlineStr">
        <is>
          <t>IIT Jodhpur Permanent Campus, NH 62, Karwar</t>
        </is>
      </c>
      <c r="Y41" s="21" t="inlineStr">
        <is>
          <t>Jodhpur</t>
        </is>
      </c>
      <c r="Z41" s="21" t="inlineStr">
        <is>
          <t>Rajasthan</t>
        </is>
      </c>
      <c r="AA41" s="21" t="inlineStr">
        <is>
          <t>342030</t>
        </is>
      </c>
      <c r="AB41" s="24" t="inlineStr">
        <is>
          <t>Official Cohort Registry (IIT Jodhpur MedTech Portal)</t>
        </is>
      </c>
    </row>
    <row r="42" ht="20" customHeight="1">
      <c r="A42" s="27" t="n">
        <v>38</v>
      </c>
      <c r="B42" s="28" t="inlineStr">
        <is>
          <t>M25IM1010</t>
        </is>
      </c>
      <c r="C42" s="29" t="inlineStr">
        <is>
          <t>Vijay Kumar</t>
        </is>
      </c>
      <c r="D42" s="27" t="inlineStr">
        <is>
          <t>Masters</t>
        </is>
      </c>
      <c r="E42" s="30" t="inlineStr">
        <is>
          <t>M.Tech in Medical Technology</t>
        </is>
      </c>
      <c r="F42" s="27" t="n">
        <v>2025</v>
      </c>
      <c r="G42" s="27" t="n">
        <v>2027</v>
      </c>
      <c r="H42" s="31" t="inlineStr">
        <is>
          <t>Active</t>
        </is>
      </c>
      <c r="I42" s="30" t="inlineStr">
        <is>
          <t>Medical Technology</t>
        </is>
      </c>
      <c r="J42" s="30" t="inlineStr">
        <is>
          <t>Faculty Board (IDRP / AIIMS-IIT Joint)</t>
        </is>
      </c>
      <c r="K42" s="30" t="inlineStr">
        <is>
          <t>m25im1010@iitj.ac.in</t>
        </is>
      </c>
      <c r="L42" s="27" t="inlineStr">
        <is>
          <t>-</t>
        </is>
      </c>
      <c r="M42" s="27" t="n">
        <v>0</v>
      </c>
      <c r="N42" s="30" t="inlineStr">
        <is>
          <t>-</t>
        </is>
      </c>
      <c r="O42" s="27" t="n">
        <v>0</v>
      </c>
      <c r="P42" s="30" t="inlineStr">
        <is>
          <t>-</t>
        </is>
      </c>
      <c r="Q42" s="27" t="n">
        <v>0</v>
      </c>
      <c r="R42" s="30" t="inlineStr">
        <is>
          <t>-</t>
        </is>
      </c>
      <c r="S42" s="27" t="n">
        <v>0</v>
      </c>
      <c r="T42" s="30" t="inlineStr">
        <is>
          <t>-</t>
        </is>
      </c>
      <c r="U42" s="27" t="inlineStr">
        <is>
          <t>-</t>
        </is>
      </c>
      <c r="V42" s="27" t="inlineStr">
        <is>
          <t>-</t>
        </is>
      </c>
      <c r="W42" s="30" t="inlineStr">
        <is>
          <t>Centre for Medical Technologies (IDRP)</t>
        </is>
      </c>
      <c r="X42" s="30" t="inlineStr">
        <is>
          <t>IIT Jodhpur Permanent Campus, NH 62, Karwar</t>
        </is>
      </c>
      <c r="Y42" s="27" t="inlineStr">
        <is>
          <t>Jodhpur</t>
        </is>
      </c>
      <c r="Z42" s="27" t="inlineStr">
        <is>
          <t>Rajasthan</t>
        </is>
      </c>
      <c r="AA42" s="27" t="inlineStr">
        <is>
          <t>342030</t>
        </is>
      </c>
      <c r="AB42" s="30" t="inlineStr">
        <is>
          <t>Official Cohort Registry (IIT Jodhpur MedTech Portal)</t>
        </is>
      </c>
    </row>
    <row r="43" ht="20" customHeight="1">
      <c r="A43" s="21" t="n">
        <v>39</v>
      </c>
      <c r="B43" s="22" t="inlineStr">
        <is>
          <t>M26IM1001</t>
        </is>
      </c>
      <c r="C43" s="23" t="inlineStr">
        <is>
          <t>Ankit Sharma</t>
        </is>
      </c>
      <c r="D43" s="21" t="inlineStr">
        <is>
          <t>Masters</t>
        </is>
      </c>
      <c r="E43" s="24" t="inlineStr">
        <is>
          <t>M.Tech in Medical Technology</t>
        </is>
      </c>
      <c r="F43" s="21" t="n">
        <v>2026</v>
      </c>
      <c r="G43" s="21" t="n">
        <v>2028</v>
      </c>
      <c r="H43" s="31" t="inlineStr">
        <is>
          <t>Active</t>
        </is>
      </c>
      <c r="I43" s="24" t="inlineStr">
        <is>
          <t>Medical Technology</t>
        </is>
      </c>
      <c r="J43" s="24" t="inlineStr">
        <is>
          <t>Faculty Board (IDRP / AIIMS-IIT Joint)</t>
        </is>
      </c>
      <c r="K43" s="24" t="inlineStr">
        <is>
          <t>m26im1001@iitj.ac.in</t>
        </is>
      </c>
      <c r="L43" s="21" t="inlineStr">
        <is>
          <t>-</t>
        </is>
      </c>
      <c r="M43" s="21" t="n">
        <v>0</v>
      </c>
      <c r="N43" s="24" t="inlineStr">
        <is>
          <t>-</t>
        </is>
      </c>
      <c r="O43" s="21" t="n">
        <v>0</v>
      </c>
      <c r="P43" s="24" t="inlineStr">
        <is>
          <t>-</t>
        </is>
      </c>
      <c r="Q43" s="21" t="n">
        <v>0</v>
      </c>
      <c r="R43" s="24" t="inlineStr">
        <is>
          <t>-</t>
        </is>
      </c>
      <c r="S43" s="21" t="n">
        <v>0</v>
      </c>
      <c r="T43" s="24" t="inlineStr">
        <is>
          <t>-</t>
        </is>
      </c>
      <c r="U43" s="21" t="inlineStr">
        <is>
          <t>-</t>
        </is>
      </c>
      <c r="V43" s="21" t="inlineStr">
        <is>
          <t>-</t>
        </is>
      </c>
      <c r="W43" s="24" t="inlineStr">
        <is>
          <t>Centre for Medical Technologies (IDRP)</t>
        </is>
      </c>
      <c r="X43" s="24" t="inlineStr">
        <is>
          <t>IIT Jodhpur Permanent Campus, NH 62, Karwar</t>
        </is>
      </c>
      <c r="Y43" s="21" t="inlineStr">
        <is>
          <t>Jodhpur</t>
        </is>
      </c>
      <c r="Z43" s="21" t="inlineStr">
        <is>
          <t>Rajasthan</t>
        </is>
      </c>
      <c r="AA43" s="21" t="inlineStr">
        <is>
          <t>342030</t>
        </is>
      </c>
      <c r="AB43" s="24" t="inlineStr">
        <is>
          <t>Official Cohort Registry (IIT Jodhpur MedTech Portal)</t>
        </is>
      </c>
    </row>
    <row r="44" ht="20" customHeight="1">
      <c r="A44" s="27" t="n">
        <v>40</v>
      </c>
      <c r="B44" s="28" t="inlineStr">
        <is>
          <t>M26IM10010</t>
        </is>
      </c>
      <c r="C44" s="29" t="inlineStr">
        <is>
          <t>Mrunal Sonawale</t>
        </is>
      </c>
      <c r="D44" s="27" t="inlineStr">
        <is>
          <t>Masters</t>
        </is>
      </c>
      <c r="E44" s="30" t="inlineStr">
        <is>
          <t>M.Tech in Medical Technology</t>
        </is>
      </c>
      <c r="F44" s="27" t="n">
        <v>2026</v>
      </c>
      <c r="G44" s="27" t="n">
        <v>2028</v>
      </c>
      <c r="H44" s="31" t="inlineStr">
        <is>
          <t>Active</t>
        </is>
      </c>
      <c r="I44" s="30" t="inlineStr">
        <is>
          <t>Medical Technology</t>
        </is>
      </c>
      <c r="J44" s="30" t="inlineStr">
        <is>
          <t>Faculty Board (IDRP / AIIMS-IIT Joint)</t>
        </is>
      </c>
      <c r="K44" s="30" t="inlineStr">
        <is>
          <t>m26im10010@iitj.ac.in</t>
        </is>
      </c>
      <c r="L44" s="27" t="inlineStr">
        <is>
          <t>-</t>
        </is>
      </c>
      <c r="M44" s="27" t="n">
        <v>0</v>
      </c>
      <c r="N44" s="30" t="inlineStr">
        <is>
          <t>-</t>
        </is>
      </c>
      <c r="O44" s="27" t="n">
        <v>0</v>
      </c>
      <c r="P44" s="30" t="inlineStr">
        <is>
          <t>-</t>
        </is>
      </c>
      <c r="Q44" s="27" t="n">
        <v>0</v>
      </c>
      <c r="R44" s="30" t="inlineStr">
        <is>
          <t>-</t>
        </is>
      </c>
      <c r="S44" s="27" t="n">
        <v>0</v>
      </c>
      <c r="T44" s="30" t="inlineStr">
        <is>
          <t>-</t>
        </is>
      </c>
      <c r="U44" s="27" t="inlineStr">
        <is>
          <t>-</t>
        </is>
      </c>
      <c r="V44" s="27" t="inlineStr">
        <is>
          <t>-</t>
        </is>
      </c>
      <c r="W44" s="30" t="inlineStr">
        <is>
          <t>Centre for Medical Technologies (IDRP)</t>
        </is>
      </c>
      <c r="X44" s="30" t="inlineStr">
        <is>
          <t>IIT Jodhpur Permanent Campus, NH 62, Karwar</t>
        </is>
      </c>
      <c r="Y44" s="27" t="inlineStr">
        <is>
          <t>Jodhpur</t>
        </is>
      </c>
      <c r="Z44" s="27" t="inlineStr">
        <is>
          <t>Rajasthan</t>
        </is>
      </c>
      <c r="AA44" s="27" t="inlineStr">
        <is>
          <t>342030</t>
        </is>
      </c>
      <c r="AB44" s="30" t="inlineStr">
        <is>
          <t>Official Cohort Registry (IIT Jodhpur MedTech Portal)</t>
        </is>
      </c>
    </row>
    <row r="45" ht="20" customHeight="1">
      <c r="A45" s="21" t="n">
        <v>41</v>
      </c>
      <c r="B45" s="22" t="inlineStr">
        <is>
          <t>M26IM10011</t>
        </is>
      </c>
      <c r="C45" s="23" t="inlineStr">
        <is>
          <t>Paras J Keyravan</t>
        </is>
      </c>
      <c r="D45" s="21" t="inlineStr">
        <is>
          <t>Masters</t>
        </is>
      </c>
      <c r="E45" s="24" t="inlineStr">
        <is>
          <t>M.Tech in Medical Technology</t>
        </is>
      </c>
      <c r="F45" s="21" t="n">
        <v>2026</v>
      </c>
      <c r="G45" s="21" t="n">
        <v>2028</v>
      </c>
      <c r="H45" s="31" t="inlineStr">
        <is>
          <t>Active</t>
        </is>
      </c>
      <c r="I45" s="24" t="inlineStr">
        <is>
          <t>Medical Technology</t>
        </is>
      </c>
      <c r="J45" s="24" t="inlineStr">
        <is>
          <t>Faculty Board (IDRP / AIIMS-IIT Joint)</t>
        </is>
      </c>
      <c r="K45" s="24" t="inlineStr">
        <is>
          <t>m26im10011@iitj.ac.in</t>
        </is>
      </c>
      <c r="L45" s="21" t="inlineStr">
        <is>
          <t>-</t>
        </is>
      </c>
      <c r="M45" s="21" t="n">
        <v>0</v>
      </c>
      <c r="N45" s="24" t="inlineStr">
        <is>
          <t>-</t>
        </is>
      </c>
      <c r="O45" s="21" t="n">
        <v>0</v>
      </c>
      <c r="P45" s="24" t="inlineStr">
        <is>
          <t>-</t>
        </is>
      </c>
      <c r="Q45" s="21" t="n">
        <v>0</v>
      </c>
      <c r="R45" s="24" t="inlineStr">
        <is>
          <t>-</t>
        </is>
      </c>
      <c r="S45" s="26" t="n">
        <v>1</v>
      </c>
      <c r="T45" s="24" t="inlineStr">
        <is>
          <t>1st position, iStart Rajasthan pitch</t>
        </is>
      </c>
      <c r="U45" s="21" t="inlineStr">
        <is>
          <t>-</t>
        </is>
      </c>
      <c r="V45" s="21" t="inlineStr">
        <is>
          <t>-</t>
        </is>
      </c>
      <c r="W45" s="24" t="inlineStr">
        <is>
          <t>Centre for Medical Technologies (IDRP)</t>
        </is>
      </c>
      <c r="X45" s="24" t="inlineStr">
        <is>
          <t>IIT Jodhpur Permanent Campus, NH 62, Karwar</t>
        </is>
      </c>
      <c r="Y45" s="21" t="inlineStr">
        <is>
          <t>Jodhpur</t>
        </is>
      </c>
      <c r="Z45" s="21" t="inlineStr">
        <is>
          <t>Rajasthan</t>
        </is>
      </c>
      <c r="AA45" s="21" t="inlineStr">
        <is>
          <t>342030</t>
        </is>
      </c>
      <c r="AB45" s="24" t="inlineStr">
        <is>
          <t>Official Cohort Registry (IIT Jodhpur MedTech Portal)</t>
        </is>
      </c>
    </row>
    <row r="46" ht="20" customHeight="1">
      <c r="A46" s="27" t="n">
        <v>42</v>
      </c>
      <c r="B46" s="28" t="inlineStr">
        <is>
          <t>M26IM10012</t>
        </is>
      </c>
      <c r="C46" s="29" t="inlineStr">
        <is>
          <t>Siddhant Dinesh Shenvi</t>
        </is>
      </c>
      <c r="D46" s="27" t="inlineStr">
        <is>
          <t>Masters</t>
        </is>
      </c>
      <c r="E46" s="30" t="inlineStr">
        <is>
          <t>M.Tech in Medical Technology</t>
        </is>
      </c>
      <c r="F46" s="27" t="n">
        <v>2026</v>
      </c>
      <c r="G46" s="27" t="n">
        <v>2028</v>
      </c>
      <c r="H46" s="31" t="inlineStr">
        <is>
          <t>Active</t>
        </is>
      </c>
      <c r="I46" s="30" t="inlineStr">
        <is>
          <t>Medical Technology</t>
        </is>
      </c>
      <c r="J46" s="30" t="inlineStr">
        <is>
          <t>Faculty Board (IDRP / AIIMS-IIT Joint)</t>
        </is>
      </c>
      <c r="K46" s="30" t="inlineStr">
        <is>
          <t>m26im10012@iitj.ac.in</t>
        </is>
      </c>
      <c r="L46" s="27" t="inlineStr">
        <is>
          <t>-</t>
        </is>
      </c>
      <c r="M46" s="27" t="n">
        <v>0</v>
      </c>
      <c r="N46" s="30" t="inlineStr">
        <is>
          <t>-</t>
        </is>
      </c>
      <c r="O46" s="27" t="n">
        <v>0</v>
      </c>
      <c r="P46" s="30" t="inlineStr">
        <is>
          <t>-</t>
        </is>
      </c>
      <c r="Q46" s="27" t="n">
        <v>0</v>
      </c>
      <c r="R46" s="30" t="inlineStr">
        <is>
          <t>-</t>
        </is>
      </c>
      <c r="S46" s="27" t="n">
        <v>0</v>
      </c>
      <c r="T46" s="30" t="inlineStr">
        <is>
          <t>-</t>
        </is>
      </c>
      <c r="U46" s="27" t="inlineStr">
        <is>
          <t>-</t>
        </is>
      </c>
      <c r="V46" s="27" t="inlineStr">
        <is>
          <t>-</t>
        </is>
      </c>
      <c r="W46" s="30" t="inlineStr">
        <is>
          <t>Centre for Medical Technologies (IDRP)</t>
        </is>
      </c>
      <c r="X46" s="30" t="inlineStr">
        <is>
          <t>IIT Jodhpur Permanent Campus, NH 62, Karwar</t>
        </is>
      </c>
      <c r="Y46" s="27" t="inlineStr">
        <is>
          <t>Jodhpur</t>
        </is>
      </c>
      <c r="Z46" s="27" t="inlineStr">
        <is>
          <t>Rajasthan</t>
        </is>
      </c>
      <c r="AA46" s="27" t="inlineStr">
        <is>
          <t>342030</t>
        </is>
      </c>
      <c r="AB46" s="30" t="inlineStr">
        <is>
          <t>Official Cohort Registry (IIT Jodhpur MedTech Portal)</t>
        </is>
      </c>
    </row>
    <row r="47" ht="20" customHeight="1">
      <c r="A47" s="21" t="n">
        <v>43</v>
      </c>
      <c r="B47" s="22" t="inlineStr">
        <is>
          <t>M26IM10013</t>
        </is>
      </c>
      <c r="C47" s="23" t="inlineStr">
        <is>
          <t>Swajal Jain</t>
        </is>
      </c>
      <c r="D47" s="21" t="inlineStr">
        <is>
          <t>Masters</t>
        </is>
      </c>
      <c r="E47" s="24" t="inlineStr">
        <is>
          <t>M.Tech in Medical Technology</t>
        </is>
      </c>
      <c r="F47" s="21" t="n">
        <v>2026</v>
      </c>
      <c r="G47" s="21" t="n">
        <v>2028</v>
      </c>
      <c r="H47" s="31" t="inlineStr">
        <is>
          <t>Active</t>
        </is>
      </c>
      <c r="I47" s="24" t="inlineStr">
        <is>
          <t>Medical Technology</t>
        </is>
      </c>
      <c r="J47" s="24" t="inlineStr">
        <is>
          <t>Faculty Board (IDRP / AIIMS-IIT Joint)</t>
        </is>
      </c>
      <c r="K47" s="24" t="inlineStr">
        <is>
          <t>m26im10013@iitj.ac.in</t>
        </is>
      </c>
      <c r="L47" s="21" t="inlineStr">
        <is>
          <t>-</t>
        </is>
      </c>
      <c r="M47" s="21" t="n">
        <v>0</v>
      </c>
      <c r="N47" s="24" t="inlineStr">
        <is>
          <t>-</t>
        </is>
      </c>
      <c r="O47" s="21" t="n">
        <v>0</v>
      </c>
      <c r="P47" s="24" t="inlineStr">
        <is>
          <t>-</t>
        </is>
      </c>
      <c r="Q47" s="21" t="n">
        <v>0</v>
      </c>
      <c r="R47" s="24" t="inlineStr">
        <is>
          <t>-</t>
        </is>
      </c>
      <c r="S47" s="21" t="n">
        <v>0</v>
      </c>
      <c r="T47" s="24" t="inlineStr">
        <is>
          <t>-</t>
        </is>
      </c>
      <c r="U47" s="21" t="inlineStr">
        <is>
          <t>-</t>
        </is>
      </c>
      <c r="V47" s="21" t="inlineStr">
        <is>
          <t>-</t>
        </is>
      </c>
      <c r="W47" s="24" t="inlineStr">
        <is>
          <t>Centre for Medical Technologies (IDRP)</t>
        </is>
      </c>
      <c r="X47" s="24" t="inlineStr">
        <is>
          <t>IIT Jodhpur Permanent Campus, NH 62, Karwar</t>
        </is>
      </c>
      <c r="Y47" s="21" t="inlineStr">
        <is>
          <t>Jodhpur</t>
        </is>
      </c>
      <c r="Z47" s="21" t="inlineStr">
        <is>
          <t>Rajasthan</t>
        </is>
      </c>
      <c r="AA47" s="21" t="inlineStr">
        <is>
          <t>342030</t>
        </is>
      </c>
      <c r="AB47" s="24" t="inlineStr">
        <is>
          <t>Official Cohort Registry (IIT Jodhpur MedTech Portal)</t>
        </is>
      </c>
    </row>
    <row r="48" ht="20" customHeight="1">
      <c r="A48" s="27" t="n">
        <v>44</v>
      </c>
      <c r="B48" s="28" t="inlineStr">
        <is>
          <t>M26IM10014</t>
        </is>
      </c>
      <c r="C48" s="29" t="inlineStr">
        <is>
          <t>Taqsh Singh Chopra</t>
        </is>
      </c>
      <c r="D48" s="27" t="inlineStr">
        <is>
          <t>Masters</t>
        </is>
      </c>
      <c r="E48" s="30" t="inlineStr">
        <is>
          <t>M.Tech in Medical Technology</t>
        </is>
      </c>
      <c r="F48" s="27" t="n">
        <v>2026</v>
      </c>
      <c r="G48" s="27" t="n">
        <v>2028</v>
      </c>
      <c r="H48" s="31" t="inlineStr">
        <is>
          <t>Active</t>
        </is>
      </c>
      <c r="I48" s="30" t="inlineStr">
        <is>
          <t>Medical Technology</t>
        </is>
      </c>
      <c r="J48" s="30" t="inlineStr">
        <is>
          <t>Faculty Board (IDRP / AIIMS-IIT Joint)</t>
        </is>
      </c>
      <c r="K48" s="30" t="inlineStr">
        <is>
          <t>m26im10014@iitj.ac.in</t>
        </is>
      </c>
      <c r="L48" s="27" t="inlineStr">
        <is>
          <t>-</t>
        </is>
      </c>
      <c r="M48" s="27" t="n">
        <v>0</v>
      </c>
      <c r="N48" s="30" t="inlineStr">
        <is>
          <t>-</t>
        </is>
      </c>
      <c r="O48" s="27" t="n">
        <v>0</v>
      </c>
      <c r="P48" s="30" t="inlineStr">
        <is>
          <t>-</t>
        </is>
      </c>
      <c r="Q48" s="27" t="n">
        <v>0</v>
      </c>
      <c r="R48" s="30" t="inlineStr">
        <is>
          <t>-</t>
        </is>
      </c>
      <c r="S48" s="27" t="n">
        <v>0</v>
      </c>
      <c r="T48" s="30" t="inlineStr">
        <is>
          <t>-</t>
        </is>
      </c>
      <c r="U48" s="27" t="inlineStr">
        <is>
          <t>-</t>
        </is>
      </c>
      <c r="V48" s="27" t="inlineStr">
        <is>
          <t>-</t>
        </is>
      </c>
      <c r="W48" s="30" t="inlineStr">
        <is>
          <t>Centre for Medical Technologies (IDRP)</t>
        </is>
      </c>
      <c r="X48" s="30" t="inlineStr">
        <is>
          <t>IIT Jodhpur Permanent Campus, NH 62, Karwar</t>
        </is>
      </c>
      <c r="Y48" s="27" t="inlineStr">
        <is>
          <t>Jodhpur</t>
        </is>
      </c>
      <c r="Z48" s="27" t="inlineStr">
        <is>
          <t>Rajasthan</t>
        </is>
      </c>
      <c r="AA48" s="27" t="inlineStr">
        <is>
          <t>342030</t>
        </is>
      </c>
      <c r="AB48" s="30" t="inlineStr">
        <is>
          <t>Official Cohort Registry (IIT Jodhpur MedTech Portal)</t>
        </is>
      </c>
    </row>
    <row r="49" ht="20" customHeight="1">
      <c r="A49" s="21" t="n">
        <v>45</v>
      </c>
      <c r="B49" s="22" t="inlineStr">
        <is>
          <t>M26IM1002</t>
        </is>
      </c>
      <c r="C49" s="23" t="inlineStr">
        <is>
          <t>Anushka Sharma</t>
        </is>
      </c>
      <c r="D49" s="21" t="inlineStr">
        <is>
          <t>Masters</t>
        </is>
      </c>
      <c r="E49" s="24" t="inlineStr">
        <is>
          <t>M.Tech in Medical Technology</t>
        </is>
      </c>
      <c r="F49" s="21" t="n">
        <v>2026</v>
      </c>
      <c r="G49" s="21" t="n">
        <v>2028</v>
      </c>
      <c r="H49" s="31" t="inlineStr">
        <is>
          <t>Active</t>
        </is>
      </c>
      <c r="I49" s="24" t="inlineStr">
        <is>
          <t>Medical Technology</t>
        </is>
      </c>
      <c r="J49" s="24" t="inlineStr">
        <is>
          <t>Faculty Board (IDRP / AIIMS-IIT Joint)</t>
        </is>
      </c>
      <c r="K49" s="24" t="inlineStr">
        <is>
          <t>m26im1002@iitj.ac.in</t>
        </is>
      </c>
      <c r="L49" s="21" t="inlineStr">
        <is>
          <t>-</t>
        </is>
      </c>
      <c r="M49" s="21" t="n">
        <v>0</v>
      </c>
      <c r="N49" s="24" t="inlineStr">
        <is>
          <t>-</t>
        </is>
      </c>
      <c r="O49" s="21" t="n">
        <v>0</v>
      </c>
      <c r="P49" s="24" t="inlineStr">
        <is>
          <t>-</t>
        </is>
      </c>
      <c r="Q49" s="21" t="n">
        <v>0</v>
      </c>
      <c r="R49" s="24" t="inlineStr">
        <is>
          <t>-</t>
        </is>
      </c>
      <c r="S49" s="21" t="n">
        <v>0</v>
      </c>
      <c r="T49" s="24" t="inlineStr">
        <is>
          <t>-</t>
        </is>
      </c>
      <c r="U49" s="21" t="inlineStr">
        <is>
          <t>-</t>
        </is>
      </c>
      <c r="V49" s="21" t="inlineStr">
        <is>
          <t>-</t>
        </is>
      </c>
      <c r="W49" s="24" t="inlineStr">
        <is>
          <t>Centre for Medical Technologies (IDRP)</t>
        </is>
      </c>
      <c r="X49" s="24" t="inlineStr">
        <is>
          <t>IIT Jodhpur Permanent Campus, NH 62, Karwar</t>
        </is>
      </c>
      <c r="Y49" s="21" t="inlineStr">
        <is>
          <t>Jodhpur</t>
        </is>
      </c>
      <c r="Z49" s="21" t="inlineStr">
        <is>
          <t>Rajasthan</t>
        </is>
      </c>
      <c r="AA49" s="21" t="inlineStr">
        <is>
          <t>342030</t>
        </is>
      </c>
      <c r="AB49" s="24" t="inlineStr">
        <is>
          <t>Official Cohort Registry (IIT Jodhpur MedTech Portal)</t>
        </is>
      </c>
    </row>
    <row r="50" ht="20" customHeight="1">
      <c r="A50" s="27" t="n">
        <v>46</v>
      </c>
      <c r="B50" s="28" t="inlineStr">
        <is>
          <t>M26IM1003</t>
        </is>
      </c>
      <c r="C50" s="29" t="inlineStr">
        <is>
          <t>Ayush Kumar Mishra</t>
        </is>
      </c>
      <c r="D50" s="27" t="inlineStr">
        <is>
          <t>Masters</t>
        </is>
      </c>
      <c r="E50" s="30" t="inlineStr">
        <is>
          <t>M.Tech in Medical Technology</t>
        </is>
      </c>
      <c r="F50" s="27" t="n">
        <v>2026</v>
      </c>
      <c r="G50" s="27" t="n">
        <v>2028</v>
      </c>
      <c r="H50" s="31" t="inlineStr">
        <is>
          <t>Active</t>
        </is>
      </c>
      <c r="I50" s="30" t="inlineStr">
        <is>
          <t>Medical Technology</t>
        </is>
      </c>
      <c r="J50" s="30" t="inlineStr">
        <is>
          <t>Faculty Board (IDRP / AIIMS-IIT Joint)</t>
        </is>
      </c>
      <c r="K50" s="30" t="inlineStr">
        <is>
          <t>m26im1003@iitj.ac.in</t>
        </is>
      </c>
      <c r="L50" s="27" t="inlineStr">
        <is>
          <t>-</t>
        </is>
      </c>
      <c r="M50" s="27" t="n">
        <v>0</v>
      </c>
      <c r="N50" s="30" t="inlineStr">
        <is>
          <t>-</t>
        </is>
      </c>
      <c r="O50" s="27" t="n">
        <v>0</v>
      </c>
      <c r="P50" s="30" t="inlineStr">
        <is>
          <t>-</t>
        </is>
      </c>
      <c r="Q50" s="27" t="n">
        <v>0</v>
      </c>
      <c r="R50" s="30" t="inlineStr">
        <is>
          <t>-</t>
        </is>
      </c>
      <c r="S50" s="27" t="n">
        <v>0</v>
      </c>
      <c r="T50" s="30" t="inlineStr">
        <is>
          <t>-</t>
        </is>
      </c>
      <c r="U50" s="27" t="inlineStr">
        <is>
          <t>-</t>
        </is>
      </c>
      <c r="V50" s="27" t="inlineStr">
        <is>
          <t>-</t>
        </is>
      </c>
      <c r="W50" s="30" t="inlineStr">
        <is>
          <t>Centre for Medical Technologies (IDRP)</t>
        </is>
      </c>
      <c r="X50" s="30" t="inlineStr">
        <is>
          <t>IIT Jodhpur Permanent Campus, NH 62, Karwar</t>
        </is>
      </c>
      <c r="Y50" s="27" t="inlineStr">
        <is>
          <t>Jodhpur</t>
        </is>
      </c>
      <c r="Z50" s="27" t="inlineStr">
        <is>
          <t>Rajasthan</t>
        </is>
      </c>
      <c r="AA50" s="27" t="inlineStr">
        <is>
          <t>342030</t>
        </is>
      </c>
      <c r="AB50" s="30" t="inlineStr">
        <is>
          <t>Official Cohort Registry (IIT Jodhpur MedTech Portal)</t>
        </is>
      </c>
    </row>
    <row r="51" ht="20" customHeight="1">
      <c r="A51" s="21" t="n">
        <v>47</v>
      </c>
      <c r="B51" s="22" t="inlineStr">
        <is>
          <t>M26IM1004</t>
        </is>
      </c>
      <c r="C51" s="23" t="inlineStr">
        <is>
          <t>Chaudhari Pratik Deepak</t>
        </is>
      </c>
      <c r="D51" s="21" t="inlineStr">
        <is>
          <t>Masters</t>
        </is>
      </c>
      <c r="E51" s="24" t="inlineStr">
        <is>
          <t>M.Tech in Medical Technology</t>
        </is>
      </c>
      <c r="F51" s="21" t="n">
        <v>2026</v>
      </c>
      <c r="G51" s="21" t="n">
        <v>2028</v>
      </c>
      <c r="H51" s="31" t="inlineStr">
        <is>
          <t>Active</t>
        </is>
      </c>
      <c r="I51" s="24" t="inlineStr">
        <is>
          <t>Medical Technology</t>
        </is>
      </c>
      <c r="J51" s="24" t="inlineStr">
        <is>
          <t>Faculty Board (IDRP / AIIMS-IIT Joint)</t>
        </is>
      </c>
      <c r="K51" s="24" t="inlineStr">
        <is>
          <t>m26im1004@iitj.ac.in</t>
        </is>
      </c>
      <c r="L51" s="21" t="inlineStr">
        <is>
          <t>-</t>
        </is>
      </c>
      <c r="M51" s="21" t="n">
        <v>0</v>
      </c>
      <c r="N51" s="24" t="inlineStr">
        <is>
          <t>-</t>
        </is>
      </c>
      <c r="O51" s="21" t="n">
        <v>0</v>
      </c>
      <c r="P51" s="24" t="inlineStr">
        <is>
          <t>-</t>
        </is>
      </c>
      <c r="Q51" s="21" t="n">
        <v>0</v>
      </c>
      <c r="R51" s="24" t="inlineStr">
        <is>
          <t>-</t>
        </is>
      </c>
      <c r="S51" s="21" t="n">
        <v>0</v>
      </c>
      <c r="T51" s="24" t="inlineStr">
        <is>
          <t>-</t>
        </is>
      </c>
      <c r="U51" s="21" t="inlineStr">
        <is>
          <t>-</t>
        </is>
      </c>
      <c r="V51" s="21" t="inlineStr">
        <is>
          <t>-</t>
        </is>
      </c>
      <c r="W51" s="24" t="inlineStr">
        <is>
          <t>Centre for Medical Technologies (IDRP)</t>
        </is>
      </c>
      <c r="X51" s="24" t="inlineStr">
        <is>
          <t>IIT Jodhpur Permanent Campus, NH 62, Karwar</t>
        </is>
      </c>
      <c r="Y51" s="21" t="inlineStr">
        <is>
          <t>Jodhpur</t>
        </is>
      </c>
      <c r="Z51" s="21" t="inlineStr">
        <is>
          <t>Rajasthan</t>
        </is>
      </c>
      <c r="AA51" s="21" t="inlineStr">
        <is>
          <t>342030</t>
        </is>
      </c>
      <c r="AB51" s="24" t="inlineStr">
        <is>
          <t>Official Cohort Registry (IIT Jodhpur MedTech Portal)</t>
        </is>
      </c>
    </row>
    <row r="52" ht="20" customHeight="1">
      <c r="A52" s="27" t="n">
        <v>48</v>
      </c>
      <c r="B52" s="28" t="inlineStr">
        <is>
          <t>M26IM1005</t>
        </is>
      </c>
      <c r="C52" s="29" t="inlineStr">
        <is>
          <t>Eshitaa Panwar</t>
        </is>
      </c>
      <c r="D52" s="27" t="inlineStr">
        <is>
          <t>Masters</t>
        </is>
      </c>
      <c r="E52" s="30" t="inlineStr">
        <is>
          <t>M.Tech in Medical Technology</t>
        </is>
      </c>
      <c r="F52" s="27" t="n">
        <v>2026</v>
      </c>
      <c r="G52" s="27" t="n">
        <v>2028</v>
      </c>
      <c r="H52" s="31" t="inlineStr">
        <is>
          <t>Active</t>
        </is>
      </c>
      <c r="I52" s="30" t="inlineStr">
        <is>
          <t>Medical Technology</t>
        </is>
      </c>
      <c r="J52" s="30" t="inlineStr">
        <is>
          <t>Faculty Board (IDRP / AIIMS-IIT Joint)</t>
        </is>
      </c>
      <c r="K52" s="30" t="inlineStr">
        <is>
          <t>m26im1005@iitj.ac.in</t>
        </is>
      </c>
      <c r="L52" s="27" t="inlineStr">
        <is>
          <t>-</t>
        </is>
      </c>
      <c r="M52" s="27" t="n">
        <v>0</v>
      </c>
      <c r="N52" s="30" t="inlineStr">
        <is>
          <t>-</t>
        </is>
      </c>
      <c r="O52" s="27" t="n">
        <v>0</v>
      </c>
      <c r="P52" s="30" t="inlineStr">
        <is>
          <t>-</t>
        </is>
      </c>
      <c r="Q52" s="27" t="n">
        <v>0</v>
      </c>
      <c r="R52" s="30" t="inlineStr">
        <is>
          <t>-</t>
        </is>
      </c>
      <c r="S52" s="27" t="n">
        <v>0</v>
      </c>
      <c r="T52" s="30" t="inlineStr">
        <is>
          <t>-</t>
        </is>
      </c>
      <c r="U52" s="27" t="inlineStr">
        <is>
          <t>-</t>
        </is>
      </c>
      <c r="V52" s="27" t="inlineStr">
        <is>
          <t>-</t>
        </is>
      </c>
      <c r="W52" s="30" t="inlineStr">
        <is>
          <t>Centre for Medical Technologies (IDRP)</t>
        </is>
      </c>
      <c r="X52" s="30" t="inlineStr">
        <is>
          <t>IIT Jodhpur Permanent Campus, NH 62, Karwar</t>
        </is>
      </c>
      <c r="Y52" s="27" t="inlineStr">
        <is>
          <t>Jodhpur</t>
        </is>
      </c>
      <c r="Z52" s="27" t="inlineStr">
        <is>
          <t>Rajasthan</t>
        </is>
      </c>
      <c r="AA52" s="27" t="inlineStr">
        <is>
          <t>342030</t>
        </is>
      </c>
      <c r="AB52" s="30" t="inlineStr">
        <is>
          <t>Official Cohort Registry (IIT Jodhpur MedTech Portal)</t>
        </is>
      </c>
    </row>
    <row r="53" ht="20" customHeight="1">
      <c r="A53" s="21" t="n">
        <v>49</v>
      </c>
      <c r="B53" s="22" t="inlineStr">
        <is>
          <t>M26IM1006</t>
        </is>
      </c>
      <c r="C53" s="23" t="inlineStr">
        <is>
          <t>Kishore V</t>
        </is>
      </c>
      <c r="D53" s="21" t="inlineStr">
        <is>
          <t>Masters</t>
        </is>
      </c>
      <c r="E53" s="24" t="inlineStr">
        <is>
          <t>M.Tech in Medical Technology</t>
        </is>
      </c>
      <c r="F53" s="21" t="n">
        <v>2026</v>
      </c>
      <c r="G53" s="21" t="n">
        <v>2028</v>
      </c>
      <c r="H53" s="31" t="inlineStr">
        <is>
          <t>Active</t>
        </is>
      </c>
      <c r="I53" s="24" t="inlineStr">
        <is>
          <t>Medical Technology</t>
        </is>
      </c>
      <c r="J53" s="24" t="inlineStr">
        <is>
          <t>Faculty Board (IDRP / AIIMS-IIT Joint)</t>
        </is>
      </c>
      <c r="K53" s="24" t="inlineStr">
        <is>
          <t>m26im1006@iitj.ac.in</t>
        </is>
      </c>
      <c r="L53" s="21" t="inlineStr">
        <is>
          <t>-</t>
        </is>
      </c>
      <c r="M53" s="21" t="n">
        <v>0</v>
      </c>
      <c r="N53" s="24" t="inlineStr">
        <is>
          <t>-</t>
        </is>
      </c>
      <c r="O53" s="21" t="n">
        <v>0</v>
      </c>
      <c r="P53" s="24" t="inlineStr">
        <is>
          <t>-</t>
        </is>
      </c>
      <c r="Q53" s="21" t="n">
        <v>0</v>
      </c>
      <c r="R53" s="24" t="inlineStr">
        <is>
          <t>-</t>
        </is>
      </c>
      <c r="S53" s="21" t="n">
        <v>0</v>
      </c>
      <c r="T53" s="24" t="inlineStr">
        <is>
          <t>-</t>
        </is>
      </c>
      <c r="U53" s="21" t="inlineStr">
        <is>
          <t>-</t>
        </is>
      </c>
      <c r="V53" s="21" t="inlineStr">
        <is>
          <t>-</t>
        </is>
      </c>
      <c r="W53" s="24" t="inlineStr">
        <is>
          <t>Centre for Medical Technologies (IDRP)</t>
        </is>
      </c>
      <c r="X53" s="24" t="inlineStr">
        <is>
          <t>IIT Jodhpur Permanent Campus, NH 62, Karwar</t>
        </is>
      </c>
      <c r="Y53" s="21" t="inlineStr">
        <is>
          <t>Jodhpur</t>
        </is>
      </c>
      <c r="Z53" s="21" t="inlineStr">
        <is>
          <t>Rajasthan</t>
        </is>
      </c>
      <c r="AA53" s="21" t="inlineStr">
        <is>
          <t>342030</t>
        </is>
      </c>
      <c r="AB53" s="24" t="inlineStr">
        <is>
          <t>Official Cohort Registry (IIT Jodhpur MedTech Portal)</t>
        </is>
      </c>
    </row>
    <row r="54" ht="20" customHeight="1">
      <c r="A54" s="27" t="n">
        <v>50</v>
      </c>
      <c r="B54" s="28" t="inlineStr">
        <is>
          <t>M26IM1007</t>
        </is>
      </c>
      <c r="C54" s="29" t="inlineStr">
        <is>
          <t>Mahendra Bishnoi</t>
        </is>
      </c>
      <c r="D54" s="27" t="inlineStr">
        <is>
          <t>Masters</t>
        </is>
      </c>
      <c r="E54" s="30" t="inlineStr">
        <is>
          <t>M.Tech in Medical Technology</t>
        </is>
      </c>
      <c r="F54" s="27" t="n">
        <v>2026</v>
      </c>
      <c r="G54" s="27" t="n">
        <v>2028</v>
      </c>
      <c r="H54" s="31" t="inlineStr">
        <is>
          <t>Active</t>
        </is>
      </c>
      <c r="I54" s="30" t="inlineStr">
        <is>
          <t>Medical Technology</t>
        </is>
      </c>
      <c r="J54" s="30" t="inlineStr">
        <is>
          <t>Faculty Board (IDRP / AIIMS-IIT Joint)</t>
        </is>
      </c>
      <c r="K54" s="30" t="inlineStr">
        <is>
          <t>m26im1007@iitj.ac.in</t>
        </is>
      </c>
      <c r="L54" s="27" t="inlineStr">
        <is>
          <t>-</t>
        </is>
      </c>
      <c r="M54" s="27" t="n">
        <v>0</v>
      </c>
      <c r="N54" s="30" t="inlineStr">
        <is>
          <t>-</t>
        </is>
      </c>
      <c r="O54" s="27" t="n">
        <v>0</v>
      </c>
      <c r="P54" s="30" t="inlineStr">
        <is>
          <t>-</t>
        </is>
      </c>
      <c r="Q54" s="27" t="n">
        <v>0</v>
      </c>
      <c r="R54" s="30" t="inlineStr">
        <is>
          <t>-</t>
        </is>
      </c>
      <c r="S54" s="27" t="n">
        <v>0</v>
      </c>
      <c r="T54" s="30" t="inlineStr">
        <is>
          <t>-</t>
        </is>
      </c>
      <c r="U54" s="27" t="inlineStr">
        <is>
          <t>-</t>
        </is>
      </c>
      <c r="V54" s="27" t="inlineStr">
        <is>
          <t>-</t>
        </is>
      </c>
      <c r="W54" s="30" t="inlineStr">
        <is>
          <t>Centre for Medical Technologies (IDRP)</t>
        </is>
      </c>
      <c r="X54" s="30" t="inlineStr">
        <is>
          <t>IIT Jodhpur Permanent Campus, NH 62, Karwar</t>
        </is>
      </c>
      <c r="Y54" s="27" t="inlineStr">
        <is>
          <t>Jodhpur</t>
        </is>
      </c>
      <c r="Z54" s="27" t="inlineStr">
        <is>
          <t>Rajasthan</t>
        </is>
      </c>
      <c r="AA54" s="27" t="inlineStr">
        <is>
          <t>342030</t>
        </is>
      </c>
      <c r="AB54" s="30" t="inlineStr">
        <is>
          <t>Official Cohort Registry (IIT Jodhpur MedTech Portal)</t>
        </is>
      </c>
    </row>
    <row r="55" ht="20" customHeight="1">
      <c r="A55" s="21" t="n">
        <v>51</v>
      </c>
      <c r="B55" s="22" t="inlineStr">
        <is>
          <t>M26IM1008</t>
        </is>
      </c>
      <c r="C55" s="23" t="inlineStr">
        <is>
          <t>Maheshiv Prajapat</t>
        </is>
      </c>
      <c r="D55" s="21" t="inlineStr">
        <is>
          <t>Masters</t>
        </is>
      </c>
      <c r="E55" s="24" t="inlineStr">
        <is>
          <t>M.Tech in Medical Technology</t>
        </is>
      </c>
      <c r="F55" s="21" t="n">
        <v>2026</v>
      </c>
      <c r="G55" s="21" t="n">
        <v>2028</v>
      </c>
      <c r="H55" s="31" t="inlineStr">
        <is>
          <t>Active</t>
        </is>
      </c>
      <c r="I55" s="24" t="inlineStr">
        <is>
          <t>Medical Technology</t>
        </is>
      </c>
      <c r="J55" s="24" t="inlineStr">
        <is>
          <t>Faculty Board (IDRP / AIIMS-IIT Joint)</t>
        </is>
      </c>
      <c r="K55" s="24" t="inlineStr">
        <is>
          <t>m26im1008@iitj.ac.in</t>
        </is>
      </c>
      <c r="L55" s="21" t="inlineStr">
        <is>
          <t>-</t>
        </is>
      </c>
      <c r="M55" s="21" t="n">
        <v>0</v>
      </c>
      <c r="N55" s="24" t="inlineStr">
        <is>
          <t>-</t>
        </is>
      </c>
      <c r="O55" s="21" t="n">
        <v>0</v>
      </c>
      <c r="P55" s="24" t="inlineStr">
        <is>
          <t>-</t>
        </is>
      </c>
      <c r="Q55" s="21" t="n">
        <v>0</v>
      </c>
      <c r="R55" s="24" t="inlineStr">
        <is>
          <t>-</t>
        </is>
      </c>
      <c r="S55" s="21" t="n">
        <v>0</v>
      </c>
      <c r="T55" s="24" t="inlineStr">
        <is>
          <t>-</t>
        </is>
      </c>
      <c r="U55" s="21" t="inlineStr">
        <is>
          <t>-</t>
        </is>
      </c>
      <c r="V55" s="21" t="inlineStr">
        <is>
          <t>-</t>
        </is>
      </c>
      <c r="W55" s="24" t="inlineStr">
        <is>
          <t>Centre for Medical Technologies (IDRP)</t>
        </is>
      </c>
      <c r="X55" s="24" t="inlineStr">
        <is>
          <t>IIT Jodhpur Permanent Campus, NH 62, Karwar</t>
        </is>
      </c>
      <c r="Y55" s="21" t="inlineStr">
        <is>
          <t>Jodhpur</t>
        </is>
      </c>
      <c r="Z55" s="21" t="inlineStr">
        <is>
          <t>Rajasthan</t>
        </is>
      </c>
      <c r="AA55" s="21" t="inlineStr">
        <is>
          <t>342030</t>
        </is>
      </c>
      <c r="AB55" s="24" t="inlineStr">
        <is>
          <t>Official Cohort Registry (IIT Jodhpur MedTech Portal)</t>
        </is>
      </c>
    </row>
    <row r="56" ht="20" customHeight="1">
      <c r="A56" s="27" t="n">
        <v>52</v>
      </c>
      <c r="B56" s="28" t="inlineStr">
        <is>
          <t>M26IM1009</t>
        </is>
      </c>
      <c r="C56" s="29" t="inlineStr">
        <is>
          <t>Megha Bharadwaj</t>
        </is>
      </c>
      <c r="D56" s="27" t="inlineStr">
        <is>
          <t>Masters</t>
        </is>
      </c>
      <c r="E56" s="30" t="inlineStr">
        <is>
          <t>M.Tech in Medical Technology</t>
        </is>
      </c>
      <c r="F56" s="27" t="n">
        <v>2026</v>
      </c>
      <c r="G56" s="27" t="n">
        <v>2028</v>
      </c>
      <c r="H56" s="31" t="inlineStr">
        <is>
          <t>Active</t>
        </is>
      </c>
      <c r="I56" s="30" t="inlineStr">
        <is>
          <t>Medical Technology</t>
        </is>
      </c>
      <c r="J56" s="30" t="inlineStr">
        <is>
          <t>Faculty Board (IDRP / AIIMS-IIT Joint)</t>
        </is>
      </c>
      <c r="K56" s="30" t="inlineStr">
        <is>
          <t>m26im1009@iitj.ac.in</t>
        </is>
      </c>
      <c r="L56" s="27" t="inlineStr">
        <is>
          <t>-</t>
        </is>
      </c>
      <c r="M56" s="27" t="n">
        <v>0</v>
      </c>
      <c r="N56" s="30" t="inlineStr">
        <is>
          <t>-</t>
        </is>
      </c>
      <c r="O56" s="27" t="n">
        <v>0</v>
      </c>
      <c r="P56" s="30" t="inlineStr">
        <is>
          <t>-</t>
        </is>
      </c>
      <c r="Q56" s="27" t="n">
        <v>0</v>
      </c>
      <c r="R56" s="30" t="inlineStr">
        <is>
          <t>-</t>
        </is>
      </c>
      <c r="S56" s="27" t="n">
        <v>0</v>
      </c>
      <c r="T56" s="30" t="inlineStr">
        <is>
          <t>-</t>
        </is>
      </c>
      <c r="U56" s="27" t="inlineStr">
        <is>
          <t>-</t>
        </is>
      </c>
      <c r="V56" s="27" t="inlineStr">
        <is>
          <t>-</t>
        </is>
      </c>
      <c r="W56" s="30" t="inlineStr">
        <is>
          <t>Centre for Medical Technologies (IDRP)</t>
        </is>
      </c>
      <c r="X56" s="30" t="inlineStr">
        <is>
          <t>IIT Jodhpur Permanent Campus, NH 62, Karwar</t>
        </is>
      </c>
      <c r="Y56" s="27" t="inlineStr">
        <is>
          <t>Jodhpur</t>
        </is>
      </c>
      <c r="Z56" s="27" t="inlineStr">
        <is>
          <t>Rajasthan</t>
        </is>
      </c>
      <c r="AA56" s="27" t="inlineStr">
        <is>
          <t>342030</t>
        </is>
      </c>
      <c r="AB56" s="30" t="inlineStr">
        <is>
          <t>Official Cohort Registry (IIT Jodhpur MedTech Portal)</t>
        </is>
      </c>
    </row>
  </sheetData>
  <autoFilter ref="A4:AB56"/>
  <mergeCells count="2">
    <mergeCell ref="A2:AB2"/>
    <mergeCell ref="A1:A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B39"/>
  <sheetViews>
    <sheetView showGridLines="1" workbookViewId="0">
      <pane xSplit="3" ySplit="4" topLeftCell="D5" activePane="bottomRight" state="frozen"/>
      <selection pane="topRight"/>
      <selection pane="bottomLeft"/>
      <selection pane="bottomRight" activeCell="A1" sqref="A1"/>
    </sheetView>
  </sheetViews>
  <sheetFormatPr baseColWidth="8" defaultRowHeight="15"/>
  <cols>
    <col width="8" customWidth="1" min="1" max="1"/>
    <col width="15" customWidth="1" min="2" max="2"/>
    <col width="26" customWidth="1" min="3" max="3"/>
    <col width="14" customWidth="1" min="4" max="4"/>
    <col width="34" customWidth="1" min="5" max="5"/>
    <col width="13" customWidth="1" min="6" max="6"/>
    <col width="16" customWidth="1" min="7" max="7"/>
    <col width="15" customWidth="1" min="8" max="8"/>
    <col width="36" customWidth="1" min="9" max="9"/>
    <col width="38" customWidth="1" min="10" max="10"/>
    <col width="28" customWidth="1" min="11" max="11"/>
    <col width="16" customWidth="1" min="12" max="12"/>
    <col width="18" customWidth="1" min="13" max="13"/>
    <col width="42" customWidth="1" min="14" max="14"/>
    <col width="15" customWidth="1" min="15" max="15"/>
    <col width="42" customWidth="1" min="16" max="16"/>
    <col width="15" customWidth="1" min="17" max="17"/>
    <col width="40" customWidth="1" min="18" max="18"/>
    <col width="15" customWidth="1" min="19" max="19"/>
    <col width="35" customWidth="1" min="20" max="20"/>
    <col width="14" customWidth="1" min="21" max="21"/>
    <col width="10" customWidth="1" min="22" max="22"/>
    <col width="32" customWidth="1" min="23" max="23"/>
    <col width="36" customWidth="1" min="24" max="24"/>
    <col width="12" customWidth="1" min="25" max="25"/>
    <col width="12" customWidth="1" min="26" max="26"/>
    <col width="10" customWidth="1" min="27" max="27"/>
    <col width="38" customWidth="1" min="28" max="28"/>
  </cols>
  <sheetData>
    <row r="1" ht="32" customHeight="1">
      <c r="A1" s="1" t="inlineStr">
        <is>
          <t>CENTRE FOR MEDICAL TECHNOLOGIES (IDRP) | IIT JODHPUR &amp; AIIMS JODHPUR</t>
        </is>
      </c>
    </row>
    <row r="2" ht="18" customHeight="1">
      <c r="A2" s="2" t="inlineStr">
        <is>
          <t>Doctoral Research Scholars (Ph.D.) — Complete Register of All 35 Ph.D. Scholars (2020 – 2026 Batches)</t>
        </is>
      </c>
    </row>
    <row r="3" ht="8" customHeight="1"/>
    <row r="4" ht="26" customHeight="1">
      <c r="A4" s="7" t="inlineStr">
        <is>
          <t>S.No.</t>
        </is>
      </c>
      <c r="B4" s="7" t="inlineStr">
        <is>
          <t>Roll Number</t>
        </is>
      </c>
      <c r="C4" s="7" t="inlineStr">
        <is>
          <t>Student Scholar Name</t>
        </is>
      </c>
      <c r="D4" s="7" t="inlineStr">
        <is>
          <t>Program Level</t>
        </is>
      </c>
      <c r="E4" s="7" t="inlineStr">
        <is>
          <t>Degree Program</t>
        </is>
      </c>
      <c r="F4" s="7" t="inlineStr">
        <is>
          <t>Cohort Year</t>
        </is>
      </c>
      <c r="G4" s="7" t="inlineStr">
        <is>
          <t>Graduation Year</t>
        </is>
      </c>
      <c r="H4" s="7" t="inlineStr">
        <is>
          <t>Academic Status</t>
        </is>
      </c>
      <c r="I4" s="7" t="inlineStr">
        <is>
          <t>Specialization &amp; Research Focus</t>
        </is>
      </c>
      <c r="J4" s="7" t="inlineStr">
        <is>
          <t>Faculty Supervisor(s) (IIT &amp; AIIMS)</t>
        </is>
      </c>
      <c r="K4" s="7" t="inlineStr">
        <is>
          <t>Institutional Email</t>
        </is>
      </c>
      <c r="L4" s="7" t="inlineStr">
        <is>
          <t>Contact Phone</t>
        </is>
      </c>
      <c r="M4" s="7" t="inlineStr">
        <is>
          <t>Publications (Count)</t>
        </is>
      </c>
      <c r="N4" s="7" t="inlineStr">
        <is>
          <t>Publication Venues &amp; Papers</t>
        </is>
      </c>
      <c r="O4" s="7" t="inlineStr">
        <is>
          <t>Patents (Count)</t>
        </is>
      </c>
      <c r="P4" s="7" t="inlineStr">
        <is>
          <t>Patent Filings &amp; Application Nos.</t>
        </is>
      </c>
      <c r="Q4" s="7" t="inlineStr">
        <is>
          <t>Startups (Count)</t>
        </is>
      </c>
      <c r="R4" s="7" t="inlineStr">
        <is>
          <t>Startup Ventures &amp; Student Roles</t>
        </is>
      </c>
      <c r="S4" s="7" t="inlineStr">
        <is>
          <t>Awards (Count)</t>
        </is>
      </c>
      <c r="T4" s="7" t="inlineStr">
        <is>
          <t>Awards, Honors &amp; Hackathon Wins</t>
        </is>
      </c>
      <c r="U4" s="7" t="inlineStr">
        <is>
          <t>Date of Birth</t>
        </is>
      </c>
      <c r="V4" s="7" t="inlineStr">
        <is>
          <t>Gender</t>
        </is>
      </c>
      <c r="W4" s="7" t="inlineStr">
        <is>
          <t>Department / Centre</t>
        </is>
      </c>
      <c r="X4" s="7" t="inlineStr">
        <is>
          <t>Campus / Residential Address</t>
        </is>
      </c>
      <c r="Y4" s="7" t="inlineStr">
        <is>
          <t>City</t>
        </is>
      </c>
      <c r="Z4" s="7" t="inlineStr">
        <is>
          <t>State</t>
        </is>
      </c>
      <c r="AA4" s="7" t="inlineStr">
        <is>
          <t>Pincode</t>
        </is>
      </c>
      <c r="AB4" s="7" t="inlineStr">
        <is>
          <t>Verification Source URL / Provenance</t>
        </is>
      </c>
    </row>
    <row r="5" ht="20" customHeight="1">
      <c r="A5" s="21" t="n">
        <v>1</v>
      </c>
      <c r="B5" s="22" t="inlineStr">
        <is>
          <t>P20ID002</t>
        </is>
      </c>
      <c r="C5" s="23" t="inlineStr">
        <is>
          <t>Kanika Singroha</t>
        </is>
      </c>
      <c r="D5" s="21" t="inlineStr">
        <is>
          <t>PhD</t>
        </is>
      </c>
      <c r="E5" s="24" t="inlineStr">
        <is>
          <t>Ph.D. in Medical Technology</t>
        </is>
      </c>
      <c r="F5" s="21" t="n">
        <v>2020</v>
      </c>
      <c r="G5" s="21" t="n">
        <v>2025</v>
      </c>
      <c r="H5" s="25" t="inlineStr">
        <is>
          <t>Alumni</t>
        </is>
      </c>
      <c r="I5" s="24" t="inlineStr">
        <is>
          <t>3D Bioprinting, Modular Bioinks &amp; Regenerative Medicine</t>
        </is>
      </c>
      <c r="J5" s="24" t="inlineStr">
        <is>
          <t>Dr. Indranil Banerjee (IIT Jodhpur) &amp; Dr. Shilpi Gupta Dixit (AIIMS Jodhpur)</t>
        </is>
      </c>
      <c r="K5" s="24" t="inlineStr">
        <is>
          <t>p20id002@iitj.ac.in</t>
        </is>
      </c>
      <c r="L5" s="21" t="inlineStr">
        <is>
          <t>-</t>
        </is>
      </c>
      <c r="M5" s="21" t="n">
        <v>0</v>
      </c>
      <c r="N5" s="24" t="inlineStr">
        <is>
          <t>-</t>
        </is>
      </c>
      <c r="O5" s="26" t="n">
        <v>1</v>
      </c>
      <c r="P5" s="24" t="inlineStr">
        <is>
          <t>App #202511037139: Quadruple High-Performance Modular Bioink for 3D Bioprinting (Filed) | Apps 202511037139, 202511037986: 3D Bioprinting Quadruple Modular Bioink &amp; Cell Suspensor</t>
        </is>
      </c>
      <c r="Q5" s="26" t="n">
        <v>1</v>
      </c>
      <c r="R5" s="24" t="inlineStr">
        <is>
          <t>Cellverse Pvt. Ltd. (Co-Founder, Incubated) | Cellverse Pvt. Ltd. (Director &amp; Co-Founder)</t>
        </is>
      </c>
      <c r="S5" s="26" t="n">
        <v>1</v>
      </c>
      <c r="T5" s="24" t="inlineStr">
        <is>
          <t>Recognition of Excellence in Young Alumni Award</t>
        </is>
      </c>
      <c r="U5" s="21" t="inlineStr">
        <is>
          <t>-</t>
        </is>
      </c>
      <c r="V5" s="21" t="inlineStr">
        <is>
          <t>-</t>
        </is>
      </c>
      <c r="W5" s="24" t="inlineStr">
        <is>
          <t>Centre for Medical Technologies (IDRP)</t>
        </is>
      </c>
      <c r="X5" s="24" t="inlineStr">
        <is>
          <t>IIT Jodhpur Permanent Campus, NH 62, Karwar</t>
        </is>
      </c>
      <c r="Y5" s="21" t="inlineStr">
        <is>
          <t>Jodhpur</t>
        </is>
      </c>
      <c r="Z5" s="21" t="inlineStr">
        <is>
          <t>Rajasthan</t>
        </is>
      </c>
      <c r="AA5" s="21" t="inlineStr">
        <is>
          <t>342030</t>
        </is>
      </c>
      <c r="AB5" s="24" t="inlineStr">
        <is>
          <t>Official Cohort Registry (IIT Jodhpur MedTech Portal)</t>
        </is>
      </c>
    </row>
    <row r="6" ht="20" customHeight="1">
      <c r="A6" s="27" t="n">
        <v>2</v>
      </c>
      <c r="B6" s="28" t="inlineStr">
        <is>
          <t>P20ID003</t>
        </is>
      </c>
      <c r="C6" s="29" t="inlineStr">
        <is>
          <t>Dushyant Agrawal</t>
        </is>
      </c>
      <c r="D6" s="27" t="inlineStr">
        <is>
          <t>PhD</t>
        </is>
      </c>
      <c r="E6" s="30" t="inlineStr">
        <is>
          <t>Ph.D. in Medical Technology</t>
        </is>
      </c>
      <c r="F6" s="27" t="n">
        <v>2020</v>
      </c>
      <c r="G6" s="27" t="n">
        <v>2025</v>
      </c>
      <c r="H6" s="25" t="inlineStr">
        <is>
          <t>Alumni</t>
        </is>
      </c>
      <c r="I6" s="30" t="inlineStr">
        <is>
          <t>Medical Technology</t>
        </is>
      </c>
      <c r="J6" s="30" t="inlineStr">
        <is>
          <t>Faculty Board (IDRP / AIIMS-IIT Joint)</t>
        </is>
      </c>
      <c r="K6" s="30" t="inlineStr">
        <is>
          <t>p20id003@iitj.ac.in</t>
        </is>
      </c>
      <c r="L6" s="27" t="inlineStr">
        <is>
          <t>-</t>
        </is>
      </c>
      <c r="M6" s="27" t="n">
        <v>0</v>
      </c>
      <c r="N6" s="30" t="inlineStr">
        <is>
          <t>-</t>
        </is>
      </c>
      <c r="O6" s="27" t="n">
        <v>0</v>
      </c>
      <c r="P6" s="30" t="inlineStr">
        <is>
          <t>-</t>
        </is>
      </c>
      <c r="Q6" s="27" t="n">
        <v>0</v>
      </c>
      <c r="R6" s="30" t="inlineStr">
        <is>
          <t>-</t>
        </is>
      </c>
      <c r="S6" s="27" t="n">
        <v>0</v>
      </c>
      <c r="T6" s="30" t="inlineStr">
        <is>
          <t>-</t>
        </is>
      </c>
      <c r="U6" s="27" t="inlineStr">
        <is>
          <t>-</t>
        </is>
      </c>
      <c r="V6" s="27" t="inlineStr">
        <is>
          <t>-</t>
        </is>
      </c>
      <c r="W6" s="30" t="inlineStr">
        <is>
          <t>Centre for Medical Technologies (IDRP)</t>
        </is>
      </c>
      <c r="X6" s="30" t="inlineStr">
        <is>
          <t>IIT Jodhpur Permanent Campus, NH 62, Karwar</t>
        </is>
      </c>
      <c r="Y6" s="27" t="inlineStr">
        <is>
          <t>Jodhpur</t>
        </is>
      </c>
      <c r="Z6" s="27" t="inlineStr">
        <is>
          <t>Rajasthan</t>
        </is>
      </c>
      <c r="AA6" s="27" t="inlineStr">
        <is>
          <t>342030</t>
        </is>
      </c>
      <c r="AB6" s="30" t="inlineStr">
        <is>
          <t>Official Cohort Registry (IIT Jodhpur MedTech Portal)</t>
        </is>
      </c>
    </row>
    <row r="7" ht="20" customHeight="1">
      <c r="A7" s="21" t="n">
        <v>3</v>
      </c>
      <c r="B7" s="22" t="inlineStr">
        <is>
          <t>P20ID004</t>
        </is>
      </c>
      <c r="C7" s="23" t="inlineStr">
        <is>
          <t>Gajendra Singh</t>
        </is>
      </c>
      <c r="D7" s="21" t="inlineStr">
        <is>
          <t>PhD</t>
        </is>
      </c>
      <c r="E7" s="24" t="inlineStr">
        <is>
          <t>Ph.D. in Medical Technology</t>
        </is>
      </c>
      <c r="F7" s="21" t="n">
        <v>2020</v>
      </c>
      <c r="G7" s="21" t="n">
        <v>2025</v>
      </c>
      <c r="H7" s="25" t="inlineStr">
        <is>
          <t>Alumni</t>
        </is>
      </c>
      <c r="I7" s="24" t="inlineStr">
        <is>
          <t>Medical Robotics, AI Echocardiography &amp; Multimodal Data Sync</t>
        </is>
      </c>
      <c r="J7" s="24" t="inlineStr">
        <is>
          <t>Dr. Deepak Mishra (IIT Jodhpur) &amp; Dr. Pushpinder Khera (AIIMS Jodhpur)</t>
        </is>
      </c>
      <c r="K7" s="24" t="inlineStr">
        <is>
          <t>singh.117@iitj.ac.in</t>
        </is>
      </c>
      <c r="L7" s="21" t="inlineStr">
        <is>
          <t>-</t>
        </is>
      </c>
      <c r="M7" s="26" t="n">
        <v>3</v>
      </c>
      <c r="N7" s="24" t="inlineStr">
        <is>
          <t>1 Journals, 2 Conferences, 0 Books. Venues: 1. IEEE Sensor Letters
2. ASMUS MICCAI 2025
3. IEEE SAUS 2024 (First Author) | Paper: "Deep Learning-Driven Multimodal Synchronization for Probe-Navigated Echocardiography" | Paper: "ASMUS: Real-Time Point-of-Care Ultrasound Guidance via Multitask Acoustic Transformer" | Paper: "Acoustic Signal Processing and Robot Teleoperation for Pediatric Cardiac Ultrasound"</t>
        </is>
      </c>
      <c r="O7" s="26" t="n">
        <v>2</v>
      </c>
      <c r="P7" s="24" t="inlineStr">
        <is>
          <t>App #202211077085: System and Method for Robot Assisted Echocardiography (Published) | App #202411058458: System for Multimodal Data Acquisition and Synchronization and Method Thereof (Published) | Apps 202211077085, 202411058458, 202511040403: Robot Assisted Echocardiography &amp; Multimodal Data Sync</t>
        </is>
      </c>
      <c r="Q7" s="26" t="n">
        <v>1</v>
      </c>
      <c r="R7" s="24" t="inlineStr">
        <is>
          <t>Visionence Tech Pvt. Ltd. (Co-Founder, Incubated) | Visionence Tech Pvt. Ltd. (Director &amp; Co-Founder)</t>
        </is>
      </c>
      <c r="S7" s="26" t="n">
        <v>1</v>
      </c>
      <c r="T7" s="24" t="inlineStr">
        <is>
          <t>Patent granted</t>
        </is>
      </c>
      <c r="U7" s="21" t="inlineStr">
        <is>
          <t>-</t>
        </is>
      </c>
      <c r="V7" s="21" t="inlineStr">
        <is>
          <t>-</t>
        </is>
      </c>
      <c r="W7" s="24" t="inlineStr">
        <is>
          <t>Centre for Medical Technologies (IDRP)</t>
        </is>
      </c>
      <c r="X7" s="24" t="inlineStr">
        <is>
          <t>IIT Jodhpur Permanent Campus, NH 62, Karwar</t>
        </is>
      </c>
      <c r="Y7" s="21" t="inlineStr">
        <is>
          <t>Jodhpur</t>
        </is>
      </c>
      <c r="Z7" s="21" t="inlineStr">
        <is>
          <t>Rajasthan</t>
        </is>
      </c>
      <c r="AA7" s="21" t="inlineStr">
        <is>
          <t>342030</t>
        </is>
      </c>
      <c r="AB7" s="24" t="inlineStr">
        <is>
          <t>Official Cohort Registry (IIT Jodhpur MedTech Portal)</t>
        </is>
      </c>
    </row>
    <row r="8" ht="20" customHeight="1">
      <c r="A8" s="27" t="n">
        <v>4</v>
      </c>
      <c r="B8" s="28" t="inlineStr">
        <is>
          <t>P20ID005</t>
        </is>
      </c>
      <c r="C8" s="29" t="inlineStr">
        <is>
          <t>Mitanshu Sharma</t>
        </is>
      </c>
      <c r="D8" s="27" t="inlineStr">
        <is>
          <t>PhD</t>
        </is>
      </c>
      <c r="E8" s="30" t="inlineStr">
        <is>
          <t>Ph.D. in Medical Technology</t>
        </is>
      </c>
      <c r="F8" s="27" t="n">
        <v>2020</v>
      </c>
      <c r="G8" s="27" t="n">
        <v>2025</v>
      </c>
      <c r="H8" s="25" t="inlineStr">
        <is>
          <t>Alumni</t>
        </is>
      </c>
      <c r="I8" s="30" t="inlineStr">
        <is>
          <t>Assistive Critical Care &amp; Pressure Ulcer Prevention</t>
        </is>
      </c>
      <c r="J8" s="30" t="inlineStr">
        <is>
          <t>Dr. Shobhana Singh (IIT Jodhpur) &amp; Dr. Nikhil Kothari (AIIMS Jodhpur)</t>
        </is>
      </c>
      <c r="K8" s="30" t="inlineStr">
        <is>
          <t>p20id005@iitj.ac.in</t>
        </is>
      </c>
      <c r="L8" s="27" t="inlineStr">
        <is>
          <t>-</t>
        </is>
      </c>
      <c r="M8" s="27" t="n">
        <v>0</v>
      </c>
      <c r="N8" s="30" t="inlineStr">
        <is>
          <t>-</t>
        </is>
      </c>
      <c r="O8" s="26" t="n">
        <v>1</v>
      </c>
      <c r="P8" s="30" t="inlineStr">
        <is>
          <t>App #202211060577: Pressure Ulcers or Bed Sores Preventing Air Bubble Based Mattress (Published) | App 202211060577: Pressure Ulcers / Bed Sores Preventing Air Bubble Mattress</t>
        </is>
      </c>
      <c r="Q8" s="27" t="n">
        <v>0</v>
      </c>
      <c r="R8" s="30" t="inlineStr">
        <is>
          <t>-</t>
        </is>
      </c>
      <c r="S8" s="27" t="n">
        <v>0</v>
      </c>
      <c r="T8" s="30" t="inlineStr">
        <is>
          <t>-</t>
        </is>
      </c>
      <c r="U8" s="27" t="inlineStr">
        <is>
          <t>-</t>
        </is>
      </c>
      <c r="V8" s="27" t="inlineStr">
        <is>
          <t>-</t>
        </is>
      </c>
      <c r="W8" s="30" t="inlineStr">
        <is>
          <t>Centre for Medical Technologies (IDRP)</t>
        </is>
      </c>
      <c r="X8" s="30" t="inlineStr">
        <is>
          <t>IIT Jodhpur Permanent Campus, NH 62, Karwar</t>
        </is>
      </c>
      <c r="Y8" s="27" t="inlineStr">
        <is>
          <t>Jodhpur</t>
        </is>
      </c>
      <c r="Z8" s="27" t="inlineStr">
        <is>
          <t>Rajasthan</t>
        </is>
      </c>
      <c r="AA8" s="27" t="inlineStr">
        <is>
          <t>342030</t>
        </is>
      </c>
      <c r="AB8" s="30" t="inlineStr">
        <is>
          <t>Official Cohort Registry (IIT Jodhpur MedTech Portal)</t>
        </is>
      </c>
    </row>
    <row r="9" ht="20" customHeight="1">
      <c r="A9" s="21" t="n">
        <v>5</v>
      </c>
      <c r="B9" s="22" t="inlineStr">
        <is>
          <t>P20ID006</t>
        </is>
      </c>
      <c r="C9" s="23" t="inlineStr">
        <is>
          <t>Monika Sharma</t>
        </is>
      </c>
      <c r="D9" s="21" t="inlineStr">
        <is>
          <t>PhD</t>
        </is>
      </c>
      <c r="E9" s="24" t="inlineStr">
        <is>
          <t>Ph.D. in Medical Technology</t>
        </is>
      </c>
      <c r="F9" s="21" t="n">
        <v>2020</v>
      </c>
      <c r="G9" s="21" t="n">
        <v>2025</v>
      </c>
      <c r="H9" s="25" t="inlineStr">
        <is>
          <t>Alumni</t>
        </is>
      </c>
      <c r="I9" s="24" t="inlineStr">
        <is>
          <t>Neuromuscular Assessment &amp; Force-Sensor Biomechanics</t>
        </is>
      </c>
      <c r="J9" s="24" t="inlineStr">
        <is>
          <t>Dr. Pankaj Yadav (IIT Jodhpur)</t>
        </is>
      </c>
      <c r="K9" s="24" t="inlineStr">
        <is>
          <t>p20id006@iitj.ac.in</t>
        </is>
      </c>
      <c r="L9" s="21" t="inlineStr">
        <is>
          <t>-</t>
        </is>
      </c>
      <c r="M9" s="21" t="n">
        <v>0</v>
      </c>
      <c r="N9" s="24" t="inlineStr">
        <is>
          <t>-</t>
        </is>
      </c>
      <c r="O9" s="26" t="n">
        <v>1</v>
      </c>
      <c r="P9" s="24" t="inlineStr">
        <is>
          <t>App 202511106532: Force-Sensor-Based Tapping Device for Neuromuscular Assessment</t>
        </is>
      </c>
      <c r="Q9" s="21" t="n">
        <v>0</v>
      </c>
      <c r="R9" s="24" t="inlineStr">
        <is>
          <t>-</t>
        </is>
      </c>
      <c r="S9" s="26" t="n">
        <v>1</v>
      </c>
      <c r="T9" s="24" t="inlineStr">
        <is>
          <t>IBRO Exchange Fellowship 2026</t>
        </is>
      </c>
      <c r="U9" s="21" t="inlineStr">
        <is>
          <t>-</t>
        </is>
      </c>
      <c r="V9" s="21" t="inlineStr">
        <is>
          <t>-</t>
        </is>
      </c>
      <c r="W9" s="24" t="inlineStr">
        <is>
          <t>Centre for Medical Technologies (IDRP)</t>
        </is>
      </c>
      <c r="X9" s="24" t="inlineStr">
        <is>
          <t>IIT Jodhpur Permanent Campus, NH 62, Karwar</t>
        </is>
      </c>
      <c r="Y9" s="21" t="inlineStr">
        <is>
          <t>Jodhpur</t>
        </is>
      </c>
      <c r="Z9" s="21" t="inlineStr">
        <is>
          <t>Rajasthan</t>
        </is>
      </c>
      <c r="AA9" s="21" t="inlineStr">
        <is>
          <t>342030</t>
        </is>
      </c>
      <c r="AB9" s="24" t="inlineStr">
        <is>
          <t>Official Cohort Registry (IIT Jodhpur MedTech Portal)</t>
        </is>
      </c>
    </row>
    <row r="10" ht="20" customHeight="1">
      <c r="A10" s="27" t="n">
        <v>6</v>
      </c>
      <c r="B10" s="28" t="inlineStr">
        <is>
          <t>P20ID007</t>
        </is>
      </c>
      <c r="C10" s="29" t="inlineStr">
        <is>
          <t>Om Lata Bhagat</t>
        </is>
      </c>
      <c r="D10" s="27" t="inlineStr">
        <is>
          <t>PhD</t>
        </is>
      </c>
      <c r="E10" s="30" t="inlineStr">
        <is>
          <t>Ph.D. in Medical Technology</t>
        </is>
      </c>
      <c r="F10" s="27" t="n">
        <v>2020</v>
      </c>
      <c r="G10" s="27" t="n">
        <v>2025</v>
      </c>
      <c r="H10" s="25" t="inlineStr">
        <is>
          <t>Alumni</t>
        </is>
      </c>
      <c r="I10" s="30" t="inlineStr">
        <is>
          <t>Medical Technology</t>
        </is>
      </c>
      <c r="J10" s="30" t="inlineStr">
        <is>
          <t>Faculty Board (IDRP / AIIMS-IIT Joint)</t>
        </is>
      </c>
      <c r="K10" s="30" t="inlineStr">
        <is>
          <t>p20id007@iitj.ac.in</t>
        </is>
      </c>
      <c r="L10" s="27" t="inlineStr">
        <is>
          <t>-</t>
        </is>
      </c>
      <c r="M10" s="27" t="n">
        <v>0</v>
      </c>
      <c r="N10" s="30" t="inlineStr">
        <is>
          <t>-</t>
        </is>
      </c>
      <c r="O10" s="27" t="n">
        <v>0</v>
      </c>
      <c r="P10" s="30" t="inlineStr">
        <is>
          <t>-</t>
        </is>
      </c>
      <c r="Q10" s="27" t="n">
        <v>0</v>
      </c>
      <c r="R10" s="30" t="inlineStr">
        <is>
          <t>-</t>
        </is>
      </c>
      <c r="S10" s="27" t="n">
        <v>0</v>
      </c>
      <c r="T10" s="30" t="inlineStr">
        <is>
          <t>-</t>
        </is>
      </c>
      <c r="U10" s="27" t="inlineStr">
        <is>
          <t>-</t>
        </is>
      </c>
      <c r="V10" s="27" t="inlineStr">
        <is>
          <t>-</t>
        </is>
      </c>
      <c r="W10" s="30" t="inlineStr">
        <is>
          <t>Centre for Medical Technologies (IDRP)</t>
        </is>
      </c>
      <c r="X10" s="30" t="inlineStr">
        <is>
          <t>IIT Jodhpur Permanent Campus, NH 62, Karwar</t>
        </is>
      </c>
      <c r="Y10" s="27" t="inlineStr">
        <is>
          <t>Jodhpur</t>
        </is>
      </c>
      <c r="Z10" s="27" t="inlineStr">
        <is>
          <t>Rajasthan</t>
        </is>
      </c>
      <c r="AA10" s="27" t="inlineStr">
        <is>
          <t>342030</t>
        </is>
      </c>
      <c r="AB10" s="30" t="inlineStr">
        <is>
          <t>Official Cohort Registry (IIT Jodhpur MedTech Portal)</t>
        </is>
      </c>
    </row>
    <row r="11" ht="20" customHeight="1">
      <c r="A11" s="21" t="n">
        <v>7</v>
      </c>
      <c r="B11" s="22" t="inlineStr">
        <is>
          <t>P20ID009</t>
        </is>
      </c>
      <c r="C11" s="23" t="inlineStr">
        <is>
          <t>Sakshi Malik</t>
        </is>
      </c>
      <c r="D11" s="21" t="inlineStr">
        <is>
          <t>PhD</t>
        </is>
      </c>
      <c r="E11" s="24" t="inlineStr">
        <is>
          <t>Ph.D. in Medical Technology</t>
        </is>
      </c>
      <c r="F11" s="21" t="n">
        <v>2020</v>
      </c>
      <c r="G11" s="21" t="n">
        <v>2025</v>
      </c>
      <c r="H11" s="25" t="inlineStr">
        <is>
          <t>Alumni</t>
        </is>
      </c>
      <c r="I11" s="24" t="inlineStr">
        <is>
          <t>Medical Technology</t>
        </is>
      </c>
      <c r="J11" s="24" t="inlineStr">
        <is>
          <t>Faculty Board (IDRP / AIIMS-IIT Joint)</t>
        </is>
      </c>
      <c r="K11" s="24" t="inlineStr">
        <is>
          <t>p20id009@iitj.ac.in</t>
        </is>
      </c>
      <c r="L11" s="21" t="inlineStr">
        <is>
          <t>-</t>
        </is>
      </c>
      <c r="M11" s="21" t="n">
        <v>0</v>
      </c>
      <c r="N11" s="24" t="inlineStr">
        <is>
          <t>-</t>
        </is>
      </c>
      <c r="O11" s="21" t="n">
        <v>0</v>
      </c>
      <c r="P11" s="24" t="inlineStr">
        <is>
          <t>-</t>
        </is>
      </c>
      <c r="Q11" s="21" t="n">
        <v>0</v>
      </c>
      <c r="R11" s="24" t="inlineStr">
        <is>
          <t>-</t>
        </is>
      </c>
      <c r="S11" s="21" t="n">
        <v>0</v>
      </c>
      <c r="T11" s="24" t="inlineStr">
        <is>
          <t>-</t>
        </is>
      </c>
      <c r="U11" s="21" t="inlineStr">
        <is>
          <t>-</t>
        </is>
      </c>
      <c r="V11" s="21" t="inlineStr">
        <is>
          <t>-</t>
        </is>
      </c>
      <c r="W11" s="24" t="inlineStr">
        <is>
          <t>Centre for Medical Technologies (IDRP)</t>
        </is>
      </c>
      <c r="X11" s="24" t="inlineStr">
        <is>
          <t>IIT Jodhpur Permanent Campus, NH 62, Karwar</t>
        </is>
      </c>
      <c r="Y11" s="21" t="inlineStr">
        <is>
          <t>Jodhpur</t>
        </is>
      </c>
      <c r="Z11" s="21" t="inlineStr">
        <is>
          <t>Rajasthan</t>
        </is>
      </c>
      <c r="AA11" s="21" t="inlineStr">
        <is>
          <t>342030</t>
        </is>
      </c>
      <c r="AB11" s="24" t="inlineStr">
        <is>
          <t>Official Cohort Registry (IIT Jodhpur MedTech Portal)</t>
        </is>
      </c>
    </row>
    <row r="12" ht="20" customHeight="1">
      <c r="A12" s="27" t="n">
        <v>8</v>
      </c>
      <c r="B12" s="28" t="inlineStr">
        <is>
          <t>P20ID010</t>
        </is>
      </c>
      <c r="C12" s="29" t="inlineStr">
        <is>
          <t>Sudesh Pachar</t>
        </is>
      </c>
      <c r="D12" s="27" t="inlineStr">
        <is>
          <t>PhD</t>
        </is>
      </c>
      <c r="E12" s="30" t="inlineStr">
        <is>
          <t>Ph.D. in Medical Technology</t>
        </is>
      </c>
      <c r="F12" s="27" t="n">
        <v>2020</v>
      </c>
      <c r="G12" s="27" t="n">
        <v>2025</v>
      </c>
      <c r="H12" s="25" t="inlineStr">
        <is>
          <t>Alumni</t>
        </is>
      </c>
      <c r="I12" s="30" t="inlineStr">
        <is>
          <t>Medical Technology</t>
        </is>
      </c>
      <c r="J12" s="30" t="inlineStr">
        <is>
          <t>Faculty Board (IDRP / AIIMS-IIT Joint)</t>
        </is>
      </c>
      <c r="K12" s="30" t="inlineStr">
        <is>
          <t>p20id010@iitj.ac.in</t>
        </is>
      </c>
      <c r="L12" s="27" t="inlineStr">
        <is>
          <t>-</t>
        </is>
      </c>
      <c r="M12" s="27" t="n">
        <v>0</v>
      </c>
      <c r="N12" s="30" t="inlineStr">
        <is>
          <t>-</t>
        </is>
      </c>
      <c r="O12" s="27" t="n">
        <v>0</v>
      </c>
      <c r="P12" s="30" t="inlineStr">
        <is>
          <t>-</t>
        </is>
      </c>
      <c r="Q12" s="27" t="n">
        <v>0</v>
      </c>
      <c r="R12" s="30" t="inlineStr">
        <is>
          <t>-</t>
        </is>
      </c>
      <c r="S12" s="27" t="n">
        <v>0</v>
      </c>
      <c r="T12" s="30" t="inlineStr">
        <is>
          <t>-</t>
        </is>
      </c>
      <c r="U12" s="27" t="inlineStr">
        <is>
          <t>-</t>
        </is>
      </c>
      <c r="V12" s="27" t="inlineStr">
        <is>
          <t>-</t>
        </is>
      </c>
      <c r="W12" s="30" t="inlineStr">
        <is>
          <t>Centre for Medical Technologies (IDRP)</t>
        </is>
      </c>
      <c r="X12" s="30" t="inlineStr">
        <is>
          <t>IIT Jodhpur Permanent Campus, NH 62, Karwar</t>
        </is>
      </c>
      <c r="Y12" s="27" t="inlineStr">
        <is>
          <t>Jodhpur</t>
        </is>
      </c>
      <c r="Z12" s="27" t="inlineStr">
        <is>
          <t>Rajasthan</t>
        </is>
      </c>
      <c r="AA12" s="27" t="inlineStr">
        <is>
          <t>342030</t>
        </is>
      </c>
      <c r="AB12" s="30" t="inlineStr">
        <is>
          <t>Official Cohort Registry (IIT Jodhpur MedTech Portal)</t>
        </is>
      </c>
    </row>
    <row r="13" ht="20" customHeight="1">
      <c r="A13" s="21" t="n">
        <v>9</v>
      </c>
      <c r="B13" s="22" t="inlineStr">
        <is>
          <t>P20SH002</t>
        </is>
      </c>
      <c r="C13" s="23" t="inlineStr">
        <is>
          <t>Netra Kirankumar Hiremath</t>
        </is>
      </c>
      <c r="D13" s="21" t="inlineStr">
        <is>
          <t>PhD</t>
        </is>
      </c>
      <c r="E13" s="24" t="inlineStr">
        <is>
          <t>Ph.D. in Medical Technology</t>
        </is>
      </c>
      <c r="F13" s="21" t="n">
        <v>2020</v>
      </c>
      <c r="G13" s="21" t="n">
        <v>2025</v>
      </c>
      <c r="H13" s="31" t="inlineStr">
        <is>
          <t>Active</t>
        </is>
      </c>
      <c r="I13" s="24" t="inlineStr">
        <is>
          <t>Nanomedicine &amp; Biomaterials Science</t>
        </is>
      </c>
      <c r="J13" s="24" t="inlineStr">
        <is>
          <t>Faculty Board (IDRP / School of Health)</t>
        </is>
      </c>
      <c r="K13" s="24" t="inlineStr">
        <is>
          <t>hiremath.1@iitj.ac.in</t>
        </is>
      </c>
      <c r="L13" s="21" t="inlineStr">
        <is>
          <t>+91 97840 55667</t>
        </is>
      </c>
      <c r="M13" s="26" t="n">
        <v>6</v>
      </c>
      <c r="N13" s="24" t="inlineStr">
        <is>
          <t>6 Journals, 0 Conferences, 0 Books. Venues: 1. ACS Applied Nano Materials (2 publications)
2. Biomaterials Science (2 publications)
3. Nanoscale
4. ChemMedChem (Co-Author)</t>
        </is>
      </c>
      <c r="O13" s="21" t="n">
        <v>0</v>
      </c>
      <c r="P13" s="24" t="inlineStr">
        <is>
          <t>-</t>
        </is>
      </c>
      <c r="Q13" s="21" t="n">
        <v>0</v>
      </c>
      <c r="R13" s="24" t="inlineStr">
        <is>
          <t>-</t>
        </is>
      </c>
      <c r="S13" s="21" t="n">
        <v>0</v>
      </c>
      <c r="T13" s="24" t="inlineStr">
        <is>
          <t>-</t>
        </is>
      </c>
      <c r="U13" s="21" t="inlineStr">
        <is>
          <t>1996-03-14</t>
        </is>
      </c>
      <c r="V13" s="21" t="inlineStr">
        <is>
          <t>Female</t>
        </is>
      </c>
      <c r="W13" s="24" t="inlineStr">
        <is>
          <t>Centre for Medical Technologies (IDRP)</t>
        </is>
      </c>
      <c r="X13" s="24" t="inlineStr">
        <is>
          <t>IIT Jodhpur Campus</t>
        </is>
      </c>
      <c r="Y13" s="21" t="inlineStr">
        <is>
          <t>Jodhpur</t>
        </is>
      </c>
      <c r="Z13" s="21" t="inlineStr">
        <is>
          <t>Rajasthan</t>
        </is>
      </c>
      <c r="AA13" s="21" t="inlineStr">
        <is>
          <t>342030</t>
        </is>
      </c>
      <c r="AB13" s="24" t="inlineStr">
        <is>
          <t>Centre for Medical Technologies Seed Registry</t>
        </is>
      </c>
    </row>
    <row r="14" ht="20" customHeight="1">
      <c r="A14" s="27" t="n">
        <v>10</v>
      </c>
      <c r="B14" s="28" t="inlineStr">
        <is>
          <t>P20SH003</t>
        </is>
      </c>
      <c r="C14" s="29" t="inlineStr">
        <is>
          <t>Nikhil Vadera</t>
        </is>
      </c>
      <c r="D14" s="27" t="inlineStr">
        <is>
          <t>PhD</t>
        </is>
      </c>
      <c r="E14" s="30" t="inlineStr">
        <is>
          <t>Ph.D. in Medical Technology</t>
        </is>
      </c>
      <c r="F14" s="27" t="n">
        <v>2020</v>
      </c>
      <c r="G14" s="27" t="n">
        <v>2025</v>
      </c>
      <c r="H14" s="31" t="inlineStr">
        <is>
          <t>Active</t>
        </is>
      </c>
      <c r="I14" s="30" t="inlineStr">
        <is>
          <t>Electrochemical Biosensors &amp; Chemical Sensing</t>
        </is>
      </c>
      <c r="J14" s="30" t="inlineStr">
        <is>
          <t>Faculty Board (IDRP / School of Health)</t>
        </is>
      </c>
      <c r="K14" s="30" t="inlineStr">
        <is>
          <t>vadera.1@iitj.ac.in</t>
        </is>
      </c>
      <c r="L14" s="27" t="inlineStr">
        <is>
          <t>+91 98290 11223</t>
        </is>
      </c>
      <c r="M14" s="26" t="n">
        <v>5</v>
      </c>
      <c r="N14" s="30" t="inlineStr">
        <is>
          <t>3 Journals, 2 Conferences, 0 Books. Venues: 1. Microchemical Journal 
2. ACS Sensors Journal 
3. IEEE Sensors Letters Journal 
4. IEEE APSCON Conference 
5. IEEE Sensors Conference  (First Author)</t>
        </is>
      </c>
      <c r="O14" s="27" t="n">
        <v>0</v>
      </c>
      <c r="P14" s="30" t="inlineStr">
        <is>
          <t>-</t>
        </is>
      </c>
      <c r="Q14" s="27" t="n">
        <v>0</v>
      </c>
      <c r="R14" s="30" t="inlineStr">
        <is>
          <t>-</t>
        </is>
      </c>
      <c r="S14" s="27" t="n">
        <v>0</v>
      </c>
      <c r="T14" s="30" t="inlineStr">
        <is>
          <t>-</t>
        </is>
      </c>
      <c r="U14" s="27" t="inlineStr">
        <is>
          <t>1996-08-20</t>
        </is>
      </c>
      <c r="V14" s="27" t="inlineStr">
        <is>
          <t>Male</t>
        </is>
      </c>
      <c r="W14" s="30" t="inlineStr">
        <is>
          <t>Centre for Medical Technologies (IDRP)</t>
        </is>
      </c>
      <c r="X14" s="30" t="inlineStr">
        <is>
          <t>IIT Jodhpur Campus</t>
        </is>
      </c>
      <c r="Y14" s="27" t="inlineStr">
        <is>
          <t>Jodhpur</t>
        </is>
      </c>
      <c r="Z14" s="27" t="inlineStr">
        <is>
          <t>Rajasthan</t>
        </is>
      </c>
      <c r="AA14" s="27" t="inlineStr">
        <is>
          <t>342030</t>
        </is>
      </c>
      <c r="AB14" s="30" t="inlineStr">
        <is>
          <t>Centre for Medical Technologies Seed Registry</t>
        </is>
      </c>
    </row>
    <row r="15" ht="20" customHeight="1">
      <c r="A15" s="21" t="n">
        <v>11</v>
      </c>
      <c r="B15" s="22" t="inlineStr">
        <is>
          <t>P20SH004</t>
        </is>
      </c>
      <c r="C15" s="23" t="inlineStr">
        <is>
          <t>Ritesh Mishra</t>
        </is>
      </c>
      <c r="D15" s="21" t="inlineStr">
        <is>
          <t>PhD</t>
        </is>
      </c>
      <c r="E15" s="24" t="inlineStr">
        <is>
          <t>Ph.D. in Medical Technology</t>
        </is>
      </c>
      <c r="F15" s="21" t="n">
        <v>2020</v>
      </c>
      <c r="G15" s="21" t="n">
        <v>2025</v>
      </c>
      <c r="H15" s="31" t="inlineStr">
        <is>
          <t>Active</t>
        </is>
      </c>
      <c r="I15" s="24" t="inlineStr">
        <is>
          <t>Plasma Medicine &amp; Agro-Food Quality Diagnostics</t>
        </is>
      </c>
      <c r="J15" s="24" t="inlineStr">
        <is>
          <t>Faculty Board (IDRP / School of Health)</t>
        </is>
      </c>
      <c r="K15" s="24" t="inlineStr">
        <is>
          <t>mishra.15@iitj.ac.in</t>
        </is>
      </c>
      <c r="L15" s="21" t="inlineStr">
        <is>
          <t>+91 94140 33445</t>
        </is>
      </c>
      <c r="M15" s="26" t="n">
        <v>8</v>
      </c>
      <c r="N15" s="24" t="inlineStr">
        <is>
          <t>6 Journals, 1 Conferences, 1 Books. Venues: 1. Food Control 
2. RSC Sustainable Food Technology
3. Irrigation Science
4. Postharvest Biology and Technology
5. Reviews of Modern Plasma Physics
6. Radiation Effects and Defects in Solids (First Author)</t>
        </is>
      </c>
      <c r="O15" s="21" t="n">
        <v>0</v>
      </c>
      <c r="P15" s="24" t="inlineStr">
        <is>
          <t>-</t>
        </is>
      </c>
      <c r="Q15" s="21" t="n">
        <v>0</v>
      </c>
      <c r="R15" s="24" t="inlineStr">
        <is>
          <t>-</t>
        </is>
      </c>
      <c r="S15" s="21" t="n">
        <v>0</v>
      </c>
      <c r="T15" s="24" t="inlineStr">
        <is>
          <t>-</t>
        </is>
      </c>
      <c r="U15" s="21" t="inlineStr">
        <is>
          <t>1995-11-12</t>
        </is>
      </c>
      <c r="V15" s="21" t="inlineStr">
        <is>
          <t>Male</t>
        </is>
      </c>
      <c r="W15" s="24" t="inlineStr">
        <is>
          <t>Centre for Medical Technologies (IDRP)</t>
        </is>
      </c>
      <c r="X15" s="24" t="inlineStr">
        <is>
          <t>IIT Jodhpur Campus</t>
        </is>
      </c>
      <c r="Y15" s="21" t="inlineStr">
        <is>
          <t>Jodhpur</t>
        </is>
      </c>
      <c r="Z15" s="21" t="inlineStr">
        <is>
          <t>Rajasthan</t>
        </is>
      </c>
      <c r="AA15" s="21" t="inlineStr">
        <is>
          <t>342030</t>
        </is>
      </c>
      <c r="AB15" s="24" t="inlineStr">
        <is>
          <t>Centre for Medical Technologies Seed Registry</t>
        </is>
      </c>
    </row>
    <row r="16" ht="20" customHeight="1">
      <c r="A16" s="27" t="n">
        <v>12</v>
      </c>
      <c r="B16" s="28" t="inlineStr">
        <is>
          <t>IDRPSHC006</t>
        </is>
      </c>
      <c r="C16" s="29" t="inlineStr">
        <is>
          <t>Ramkamal samat</t>
        </is>
      </c>
      <c r="D16" s="27" t="inlineStr">
        <is>
          <t>PhD</t>
        </is>
      </c>
      <c r="E16" s="30" t="inlineStr">
        <is>
          <t>Ph.D. in Medical Technology</t>
        </is>
      </c>
      <c r="F16" s="27" t="n">
        <v>2021</v>
      </c>
      <c r="G16" s="27" t="n">
        <v>2026</v>
      </c>
      <c r="H16" s="25" t="inlineStr">
        <is>
          <t>Alumni</t>
        </is>
      </c>
      <c r="I16" s="30" t="inlineStr">
        <is>
          <t>Medicinal Chemistry &amp; Infectious Disease Therapeutics</t>
        </is>
      </c>
      <c r="J16" s="30" t="inlineStr">
        <is>
          <t>Faculty Board (IDRP / School of Health)</t>
        </is>
      </c>
      <c r="K16" s="30" t="inlineStr">
        <is>
          <t>samat.1@iitj.ac.in</t>
        </is>
      </c>
      <c r="L16" s="27" t="inlineStr">
        <is>
          <t>-</t>
        </is>
      </c>
      <c r="M16" s="26" t="n">
        <v>4</v>
      </c>
      <c r="N16" s="30" t="inlineStr">
        <is>
          <t>4 Journals, 0 Conferences, 0 Books. Venues: Acs infectious disease, Journal of Medicinal chemistry  (First Author)</t>
        </is>
      </c>
      <c r="O16" s="27" t="n">
        <v>0</v>
      </c>
      <c r="P16" s="30" t="inlineStr">
        <is>
          <t>-</t>
        </is>
      </c>
      <c r="Q16" s="27" t="n">
        <v>0</v>
      </c>
      <c r="R16" s="30" t="inlineStr">
        <is>
          <t>-</t>
        </is>
      </c>
      <c r="S16" s="27" t="n">
        <v>0</v>
      </c>
      <c r="T16" s="30" t="inlineStr">
        <is>
          <t>-</t>
        </is>
      </c>
      <c r="U16" s="27" t="inlineStr">
        <is>
          <t>-</t>
        </is>
      </c>
      <c r="V16" s="27" t="inlineStr">
        <is>
          <t>-</t>
        </is>
      </c>
      <c r="W16" s="30" t="inlineStr">
        <is>
          <t>Centre for Medical Technologies (IDRP / School of Health)</t>
        </is>
      </c>
      <c r="X16" s="30" t="inlineStr">
        <is>
          <t>IIT Jodhpur Permanent Campus, NH 62, Karwar</t>
        </is>
      </c>
      <c r="Y16" s="27" t="inlineStr">
        <is>
          <t>Jodhpur</t>
        </is>
      </c>
      <c r="Z16" s="27" t="inlineStr">
        <is>
          <t>Rajasthan</t>
        </is>
      </c>
      <c r="AA16" s="27" t="inlineStr">
        <is>
          <t>342030</t>
        </is>
      </c>
      <c r="AB16" s="30" t="inlineStr">
        <is>
          <t>Centre Verified Research Publication Submission</t>
        </is>
      </c>
    </row>
    <row r="17" ht="20" customHeight="1">
      <c r="A17" s="21" t="n">
        <v>13</v>
      </c>
      <c r="B17" s="22" t="inlineStr">
        <is>
          <t>P21ID002</t>
        </is>
      </c>
      <c r="C17" s="23" t="inlineStr">
        <is>
          <t>Jayant Singhal</t>
        </is>
      </c>
      <c r="D17" s="21" t="inlineStr">
        <is>
          <t>PhD</t>
        </is>
      </c>
      <c r="E17" s="24" t="inlineStr">
        <is>
          <t>Ph.D. in Medical Technology</t>
        </is>
      </c>
      <c r="F17" s="21" t="n">
        <v>2021</v>
      </c>
      <c r="G17" s="21" t="n">
        <v>2026</v>
      </c>
      <c r="H17" s="31" t="inlineStr">
        <is>
          <t>Active</t>
        </is>
      </c>
      <c r="I17" s="24" t="inlineStr">
        <is>
          <t>Neonatal Bilirubin Diagnostics &amp; AI Health Monitoring</t>
        </is>
      </c>
      <c r="J17" s="24" t="inlineStr">
        <is>
          <t>Prof. Ajay Agarwal (IIT Jodhpur) &amp; Dr. Sushmita Jha (IIT Jodhpur)</t>
        </is>
      </c>
      <c r="K17" s="24" t="inlineStr">
        <is>
          <t>p21id002@iitj.ac.in</t>
        </is>
      </c>
      <c r="L17" s="21" t="inlineStr">
        <is>
          <t>+91 98290 12345</t>
        </is>
      </c>
      <c r="M17" s="21" t="n">
        <v>0</v>
      </c>
      <c r="N17" s="24" t="inlineStr">
        <is>
          <t>-</t>
        </is>
      </c>
      <c r="O17" s="26" t="n">
        <v>1</v>
      </c>
      <c r="P17" s="24" t="inlineStr">
        <is>
          <t>App 202411028352: Monitoring Neonatal Bilirubin Levels</t>
        </is>
      </c>
      <c r="Q17" s="21" t="n">
        <v>0</v>
      </c>
      <c r="R17" s="24" t="inlineStr">
        <is>
          <t>-</t>
        </is>
      </c>
      <c r="S17" s="26" t="n">
        <v>1</v>
      </c>
      <c r="T17" s="24" t="inlineStr">
        <is>
          <t>MSME Idea Hackathon 4.0 grants</t>
        </is>
      </c>
      <c r="U17" s="21" t="inlineStr">
        <is>
          <t>1998-03-22</t>
        </is>
      </c>
      <c r="V17" s="21" t="inlineStr">
        <is>
          <t>Male</t>
        </is>
      </c>
      <c r="W17" s="24" t="inlineStr">
        <is>
          <t>Centre for Medical Technologies (IDRP)</t>
        </is>
      </c>
      <c r="X17" s="24" t="inlineStr">
        <is>
          <t>Ph.D. Scholar Block C, Room 105, IIT Jodhpur Campus</t>
        </is>
      </c>
      <c r="Y17" s="21" t="inlineStr">
        <is>
          <t>Jodhpur</t>
        </is>
      </c>
      <c r="Z17" s="21" t="inlineStr">
        <is>
          <t>Rajasthan</t>
        </is>
      </c>
      <c r="AA17" s="21" t="inlineStr">
        <is>
          <t>342030</t>
        </is>
      </c>
      <c r="AB17" s="24" t="inlineStr">
        <is>
          <t>Official Cohort Registry (IIT Jodhpur MedTech Portal)</t>
        </is>
      </c>
    </row>
    <row r="18" ht="20" customHeight="1">
      <c r="A18" s="27" t="n">
        <v>14</v>
      </c>
      <c r="B18" s="28" t="inlineStr">
        <is>
          <t>P21ID003</t>
        </is>
      </c>
      <c r="C18" s="29" t="inlineStr">
        <is>
          <t>Naveen Kumar</t>
        </is>
      </c>
      <c r="D18" s="27" t="inlineStr">
        <is>
          <t>PhD</t>
        </is>
      </c>
      <c r="E18" s="30" t="inlineStr">
        <is>
          <t>Ph.D. in Medical Technology</t>
        </is>
      </c>
      <c r="F18" s="27" t="n">
        <v>2021</v>
      </c>
      <c r="G18" s="27" t="n">
        <v>2026</v>
      </c>
      <c r="H18" s="25" t="inlineStr">
        <is>
          <t>Alumni</t>
        </is>
      </c>
      <c r="I18" s="30" t="inlineStr">
        <is>
          <t>Medical Technology</t>
        </is>
      </c>
      <c r="J18" s="30" t="inlineStr">
        <is>
          <t>Faculty Board (IDRP / AIIMS-IIT Joint)</t>
        </is>
      </c>
      <c r="K18" s="30" t="inlineStr">
        <is>
          <t>p21id003@iitj.ac.in</t>
        </is>
      </c>
      <c r="L18" s="27" t="inlineStr">
        <is>
          <t>-</t>
        </is>
      </c>
      <c r="M18" s="27" t="n">
        <v>0</v>
      </c>
      <c r="N18" s="30" t="inlineStr">
        <is>
          <t>-</t>
        </is>
      </c>
      <c r="O18" s="27" t="n">
        <v>0</v>
      </c>
      <c r="P18" s="30" t="inlineStr">
        <is>
          <t>-</t>
        </is>
      </c>
      <c r="Q18" s="27" t="n">
        <v>0</v>
      </c>
      <c r="R18" s="30" t="inlineStr">
        <is>
          <t>-</t>
        </is>
      </c>
      <c r="S18" s="27" t="n">
        <v>0</v>
      </c>
      <c r="T18" s="30" t="inlineStr">
        <is>
          <t>-</t>
        </is>
      </c>
      <c r="U18" s="27" t="inlineStr">
        <is>
          <t>-</t>
        </is>
      </c>
      <c r="V18" s="27" t="inlineStr">
        <is>
          <t>-</t>
        </is>
      </c>
      <c r="W18" s="30" t="inlineStr">
        <is>
          <t>Centre for Medical Technologies (IDRP)</t>
        </is>
      </c>
      <c r="X18" s="30" t="inlineStr">
        <is>
          <t>IIT Jodhpur Permanent Campus, NH 62, Karwar</t>
        </is>
      </c>
      <c r="Y18" s="27" t="inlineStr">
        <is>
          <t>Jodhpur</t>
        </is>
      </c>
      <c r="Z18" s="27" t="inlineStr">
        <is>
          <t>Rajasthan</t>
        </is>
      </c>
      <c r="AA18" s="27" t="inlineStr">
        <is>
          <t>342030</t>
        </is>
      </c>
      <c r="AB18" s="30" t="inlineStr">
        <is>
          <t>Official Cohort Registry (IIT Jodhpur MedTech Portal)</t>
        </is>
      </c>
    </row>
    <row r="19" ht="20" customHeight="1">
      <c r="A19" s="21" t="n">
        <v>15</v>
      </c>
      <c r="B19" s="22" t="inlineStr">
        <is>
          <t>P21ID004</t>
        </is>
      </c>
      <c r="C19" s="23" t="inlineStr">
        <is>
          <t>Shailesh Kumar Mousalpuriya</t>
        </is>
      </c>
      <c r="D19" s="21" t="inlineStr">
        <is>
          <t>PhD</t>
        </is>
      </c>
      <c r="E19" s="24" t="inlineStr">
        <is>
          <t>Ph.D. in Medical Technology</t>
        </is>
      </c>
      <c r="F19" s="21" t="n">
        <v>2021</v>
      </c>
      <c r="G19" s="21" t="n">
        <v>2026</v>
      </c>
      <c r="H19" s="25" t="inlineStr">
        <is>
          <t>Alumni</t>
        </is>
      </c>
      <c r="I19" s="24" t="inlineStr">
        <is>
          <t>Medical Technology</t>
        </is>
      </c>
      <c r="J19" s="24" t="inlineStr">
        <is>
          <t>Faculty Board (IDRP / AIIMS-IIT Joint)</t>
        </is>
      </c>
      <c r="K19" s="24" t="inlineStr">
        <is>
          <t>p21id004@iitj.ac.in</t>
        </is>
      </c>
      <c r="L19" s="21" t="inlineStr">
        <is>
          <t>-</t>
        </is>
      </c>
      <c r="M19" s="21" t="n">
        <v>0</v>
      </c>
      <c r="N19" s="24" t="inlineStr">
        <is>
          <t>-</t>
        </is>
      </c>
      <c r="O19" s="21" t="n">
        <v>0</v>
      </c>
      <c r="P19" s="24" t="inlineStr">
        <is>
          <t>-</t>
        </is>
      </c>
      <c r="Q19" s="21" t="n">
        <v>0</v>
      </c>
      <c r="R19" s="24" t="inlineStr">
        <is>
          <t>-</t>
        </is>
      </c>
      <c r="S19" s="21" t="n">
        <v>0</v>
      </c>
      <c r="T19" s="24" t="inlineStr">
        <is>
          <t>-</t>
        </is>
      </c>
      <c r="U19" s="21" t="inlineStr">
        <is>
          <t>-</t>
        </is>
      </c>
      <c r="V19" s="21" t="inlineStr">
        <is>
          <t>-</t>
        </is>
      </c>
      <c r="W19" s="24" t="inlineStr">
        <is>
          <t>Centre for Medical Technologies (IDRP)</t>
        </is>
      </c>
      <c r="X19" s="24" t="inlineStr">
        <is>
          <t>IIT Jodhpur Permanent Campus, NH 62, Karwar</t>
        </is>
      </c>
      <c r="Y19" s="21" t="inlineStr">
        <is>
          <t>Jodhpur</t>
        </is>
      </c>
      <c r="Z19" s="21" t="inlineStr">
        <is>
          <t>Rajasthan</t>
        </is>
      </c>
      <c r="AA19" s="21" t="inlineStr">
        <is>
          <t>342030</t>
        </is>
      </c>
      <c r="AB19" s="24" t="inlineStr">
        <is>
          <t>Official Cohort Registry (IIT Jodhpur MedTech Portal)</t>
        </is>
      </c>
    </row>
    <row r="20" ht="20" customHeight="1">
      <c r="A20" s="27" t="n">
        <v>16</v>
      </c>
      <c r="B20" s="28" t="inlineStr">
        <is>
          <t>P21ID005</t>
        </is>
      </c>
      <c r="C20" s="29" t="inlineStr">
        <is>
          <t>Shivangi Madhavi Harsha</t>
        </is>
      </c>
      <c r="D20" s="27" t="inlineStr">
        <is>
          <t>PhD</t>
        </is>
      </c>
      <c r="E20" s="30" t="inlineStr">
        <is>
          <t>Ph.D. in Medical Technology</t>
        </is>
      </c>
      <c r="F20" s="27" t="n">
        <v>2021</v>
      </c>
      <c r="G20" s="27" t="n">
        <v>2026</v>
      </c>
      <c r="H20" s="25" t="inlineStr">
        <is>
          <t>Alumni</t>
        </is>
      </c>
      <c r="I20" s="30" t="inlineStr">
        <is>
          <t>Smart Wearables &amp; Health Monitoring Textiles</t>
        </is>
      </c>
      <c r="J20" s="30" t="inlineStr">
        <is>
          <t>Prof. Ajay Agarwal (IIT Jodhpur)</t>
        </is>
      </c>
      <c r="K20" s="30" t="inlineStr">
        <is>
          <t>harsha.2@iitj.ac.in</t>
        </is>
      </c>
      <c r="L20" s="27" t="inlineStr">
        <is>
          <t>-</t>
        </is>
      </c>
      <c r="M20" s="26" t="n">
        <v>1</v>
      </c>
      <c r="N20" s="30" t="inlineStr">
        <is>
          <t>0 Journals, 1 Conferences, 0 Books. Venues: Conference - "Fashion-Textiles-Wearables 2026" organized by iLettersiCongress, British Textile Machinery Association and The Textile Institute, Manchester, UK.
Concluded on 15th April 2026, abstract was selected for oral presentation. Papers will be called after this.  (First Author)</t>
        </is>
      </c>
      <c r="O20" s="27" t="n">
        <v>0</v>
      </c>
      <c r="P20" s="30" t="inlineStr">
        <is>
          <t>-</t>
        </is>
      </c>
      <c r="Q20" s="27" t="n">
        <v>0</v>
      </c>
      <c r="R20" s="30" t="inlineStr">
        <is>
          <t>-</t>
        </is>
      </c>
      <c r="S20" s="26" t="n">
        <v>2</v>
      </c>
      <c r="T20" s="30" t="inlineStr">
        <is>
          <t>DAAD Research in Germany — Biotechnology &amp; Biomedical Innovation Research Tour 2026 ; Satyarthi Fellowship 2026</t>
        </is>
      </c>
      <c r="U20" s="27" t="inlineStr">
        <is>
          <t>-</t>
        </is>
      </c>
      <c r="V20" s="27" t="inlineStr">
        <is>
          <t>-</t>
        </is>
      </c>
      <c r="W20" s="30" t="inlineStr">
        <is>
          <t>Centre for Medical Technologies (IDRP)</t>
        </is>
      </c>
      <c r="X20" s="30" t="inlineStr">
        <is>
          <t>IIT Jodhpur Permanent Campus, NH 62, Karwar</t>
        </is>
      </c>
      <c r="Y20" s="27" t="inlineStr">
        <is>
          <t>Jodhpur</t>
        </is>
      </c>
      <c r="Z20" s="27" t="inlineStr">
        <is>
          <t>Rajasthan</t>
        </is>
      </c>
      <c r="AA20" s="27" t="inlineStr">
        <is>
          <t>342030</t>
        </is>
      </c>
      <c r="AB20" s="30" t="inlineStr">
        <is>
          <t>Official Cohort Registry (IIT Jodhpur MedTech Portal)</t>
        </is>
      </c>
    </row>
    <row r="21" ht="20" customHeight="1">
      <c r="A21" s="21" t="n">
        <v>17</v>
      </c>
      <c r="B21" s="22" t="inlineStr">
        <is>
          <t>P21ID006</t>
        </is>
      </c>
      <c r="C21" s="23" t="inlineStr">
        <is>
          <t>Umme Abiha</t>
        </is>
      </c>
      <c r="D21" s="21" t="inlineStr">
        <is>
          <t>PhD</t>
        </is>
      </c>
      <c r="E21" s="24" t="inlineStr">
        <is>
          <t>Ph.D. in Medical Technology</t>
        </is>
      </c>
      <c r="F21" s="21" t="n">
        <v>2021</v>
      </c>
      <c r="G21" s="21" t="n">
        <v>2026</v>
      </c>
      <c r="H21" s="25" t="inlineStr">
        <is>
          <t>Alumni</t>
        </is>
      </c>
      <c r="I21" s="24" t="inlineStr">
        <is>
          <t>Neonatal Bilirubin Screening &amp; Point-of-Care Devices</t>
        </is>
      </c>
      <c r="J21" s="24" t="inlineStr">
        <is>
          <t>Dr. Dip Sankar Banerjee (IIT Jodhpur) &amp; Dr. Saptarshi Mandal (AIIMS Jodhpur)</t>
        </is>
      </c>
      <c r="K21" s="24" t="inlineStr">
        <is>
          <t>abiha.1@iitj.ac.in</t>
        </is>
      </c>
      <c r="L21" s="21" t="inlineStr">
        <is>
          <t>-</t>
        </is>
      </c>
      <c r="M21" s="26" t="n">
        <v>14</v>
      </c>
      <c r="N21" s="24" t="inlineStr">
        <is>
          <t>5 Journals, 0 Conferences, 9 Books. Venues: Journals: Frontiers in Pediatrics,  Medical Engineering &amp; Physics,  Medicina.
Book Chapters: Elsevier., CRC Press,  Springer Nature,  Taylor &amp; Francis, Research Square, Authorea (First Author) | Paper: "Non-Invasive Optical Transcutaneous Bilirubin Estimation in Neonatal Intensive Care"</t>
        </is>
      </c>
      <c r="O21" s="26" t="n">
        <v>1</v>
      </c>
      <c r="P21" s="24" t="inlineStr">
        <is>
          <t>App #202411028352: Monitoring Neonatal Bilirubin Levels (Published) | App 202411028352: Monitoring Neonatal Bilirubin Levels</t>
        </is>
      </c>
      <c r="Q21" s="21" t="n">
        <v>0</v>
      </c>
      <c r="R21" s="24" t="inlineStr">
        <is>
          <t>-</t>
        </is>
      </c>
      <c r="S21" s="26" t="n">
        <v>2</v>
      </c>
      <c r="T21" s="24" t="inlineStr">
        <is>
          <t>Young Researcher Award ; Best Oral Presentation Award, Health Science</t>
        </is>
      </c>
      <c r="U21" s="21" t="inlineStr">
        <is>
          <t>-</t>
        </is>
      </c>
      <c r="V21" s="21" t="inlineStr">
        <is>
          <t>-</t>
        </is>
      </c>
      <c r="W21" s="24" t="inlineStr">
        <is>
          <t>Centre for Medical Technologies (IDRP)</t>
        </is>
      </c>
      <c r="X21" s="24" t="inlineStr">
        <is>
          <t>IIT Jodhpur Permanent Campus, NH 62, Karwar</t>
        </is>
      </c>
      <c r="Y21" s="21" t="inlineStr">
        <is>
          <t>Jodhpur</t>
        </is>
      </c>
      <c r="Z21" s="21" t="inlineStr">
        <is>
          <t>Rajasthan</t>
        </is>
      </c>
      <c r="AA21" s="21" t="inlineStr">
        <is>
          <t>342030</t>
        </is>
      </c>
      <c r="AB21" s="24" t="inlineStr">
        <is>
          <t>Official Cohort Registry (IIT Jodhpur MedTech Portal)</t>
        </is>
      </c>
    </row>
    <row r="22" ht="20" customHeight="1">
      <c r="A22" s="27" t="n">
        <v>18</v>
      </c>
      <c r="B22" s="28" t="inlineStr">
        <is>
          <t>P21SH202</t>
        </is>
      </c>
      <c r="C22" s="29" t="inlineStr">
        <is>
          <t>Midhuna K</t>
        </is>
      </c>
      <c r="D22" s="27" t="inlineStr">
        <is>
          <t>PhD</t>
        </is>
      </c>
      <c r="E22" s="30" t="inlineStr">
        <is>
          <t>Ph.D. in Medical Technology</t>
        </is>
      </c>
      <c r="F22" s="27" t="n">
        <v>2021</v>
      </c>
      <c r="G22" s="27" t="n">
        <v>2026</v>
      </c>
      <c r="H22" s="25" t="inlineStr">
        <is>
          <t>Alumni</t>
        </is>
      </c>
      <c r="I22" s="30" t="inlineStr">
        <is>
          <t>Biophysical Chemistry &amp; Translational Diagnostics</t>
        </is>
      </c>
      <c r="J22" s="30" t="inlineStr">
        <is>
          <t>Faculty Board (IDRP / School of Health)</t>
        </is>
      </c>
      <c r="K22" s="30" t="inlineStr">
        <is>
          <t>midhuna.1@iitj.ac.in</t>
        </is>
      </c>
      <c r="L22" s="27" t="inlineStr">
        <is>
          <t>-</t>
        </is>
      </c>
      <c r="M22" s="27" t="n">
        <v>0</v>
      </c>
      <c r="N22" s="30" t="inlineStr">
        <is>
          <t>0 Journals, 0 Conferences, 0 Books. Venues: Manuscript under preparation Biophysical chemistry  (First Author)</t>
        </is>
      </c>
      <c r="O22" s="27" t="n">
        <v>0</v>
      </c>
      <c r="P22" s="30" t="inlineStr">
        <is>
          <t>-</t>
        </is>
      </c>
      <c r="Q22" s="27" t="n">
        <v>0</v>
      </c>
      <c r="R22" s="30" t="inlineStr">
        <is>
          <t>-</t>
        </is>
      </c>
      <c r="S22" s="27" t="n">
        <v>0</v>
      </c>
      <c r="T22" s="30" t="inlineStr">
        <is>
          <t>-</t>
        </is>
      </c>
      <c r="U22" s="27" t="inlineStr">
        <is>
          <t>-</t>
        </is>
      </c>
      <c r="V22" s="27" t="inlineStr">
        <is>
          <t>-</t>
        </is>
      </c>
      <c r="W22" s="30" t="inlineStr">
        <is>
          <t>Centre for Medical Technologies (IDRP / School of Health)</t>
        </is>
      </c>
      <c r="X22" s="30" t="inlineStr">
        <is>
          <t>IIT Jodhpur Permanent Campus, NH 62, Karwar</t>
        </is>
      </c>
      <c r="Y22" s="27" t="inlineStr">
        <is>
          <t>Jodhpur</t>
        </is>
      </c>
      <c r="Z22" s="27" t="inlineStr">
        <is>
          <t>Rajasthan</t>
        </is>
      </c>
      <c r="AA22" s="27" t="inlineStr">
        <is>
          <t>342030</t>
        </is>
      </c>
      <c r="AB22" s="30" t="inlineStr">
        <is>
          <t>Centre Verified Research Publication Submission</t>
        </is>
      </c>
    </row>
    <row r="23" ht="20" customHeight="1">
      <c r="A23" s="21" t="n">
        <v>19</v>
      </c>
      <c r="B23" s="22" t="inlineStr">
        <is>
          <t>P22ID001</t>
        </is>
      </c>
      <c r="C23" s="23" t="inlineStr">
        <is>
          <t>Anshuman Srivastava</t>
        </is>
      </c>
      <c r="D23" s="21" t="inlineStr">
        <is>
          <t>PhD</t>
        </is>
      </c>
      <c r="E23" s="24" t="inlineStr">
        <is>
          <t>Ph.D. in Medical Technology</t>
        </is>
      </c>
      <c r="F23" s="21" t="n">
        <v>2022</v>
      </c>
      <c r="G23" s="21" t="n">
        <v>2027</v>
      </c>
      <c r="H23" s="31" t="inlineStr">
        <is>
          <t>Active</t>
        </is>
      </c>
      <c r="I23" s="24" t="inlineStr">
        <is>
          <t>Sensors &amp; Microfluidic Diagnostics</t>
        </is>
      </c>
      <c r="J23" s="24" t="inlineStr">
        <is>
          <t>Prof. Ajay Agarwal (IIT Jodhpur) &amp; Dr. Arun Singh (AIIMS Jodhpur)</t>
        </is>
      </c>
      <c r="K23" s="24" t="inlineStr">
        <is>
          <t>p22id001@iitj.ac.in</t>
        </is>
      </c>
      <c r="L23" s="21" t="inlineStr">
        <is>
          <t>+91 99182 33445</t>
        </is>
      </c>
      <c r="M23" s="21" t="n">
        <v>0</v>
      </c>
      <c r="N23" s="24" t="inlineStr">
        <is>
          <t>-</t>
        </is>
      </c>
      <c r="O23" s="21" t="n">
        <v>0</v>
      </c>
      <c r="P23" s="24" t="inlineStr">
        <is>
          <t>-</t>
        </is>
      </c>
      <c r="Q23" s="21" t="n">
        <v>0</v>
      </c>
      <c r="R23" s="24" t="inlineStr">
        <is>
          <t>-</t>
        </is>
      </c>
      <c r="S23" s="21" t="n">
        <v>0</v>
      </c>
      <c r="T23" s="24" t="inlineStr">
        <is>
          <t>-</t>
        </is>
      </c>
      <c r="U23" s="21" t="inlineStr">
        <is>
          <t>1998-12-04</t>
        </is>
      </c>
      <c r="V23" s="21" t="inlineStr">
        <is>
          <t>Male</t>
        </is>
      </c>
      <c r="W23" s="24" t="inlineStr">
        <is>
          <t>Centre for Medical Technologies (IDRP)</t>
        </is>
      </c>
      <c r="X23" s="24" t="inlineStr">
        <is>
          <t>Ph.D. Scholar Block B, Room 102, IIT Jodhpur</t>
        </is>
      </c>
      <c r="Y23" s="21" t="inlineStr">
        <is>
          <t>Jodhpur</t>
        </is>
      </c>
      <c r="Z23" s="21" t="inlineStr">
        <is>
          <t>Rajasthan</t>
        </is>
      </c>
      <c r="AA23" s="21" t="inlineStr">
        <is>
          <t>342030</t>
        </is>
      </c>
      <c r="AB23" s="24" t="inlineStr">
        <is>
          <t>Centre for Medical Technologies Seed Registry</t>
        </is>
      </c>
    </row>
    <row r="24" ht="20" customHeight="1">
      <c r="A24" s="27" t="n">
        <v>20</v>
      </c>
      <c r="B24" s="28" t="inlineStr">
        <is>
          <t>P22ID002</t>
        </is>
      </c>
      <c r="C24" s="29" t="inlineStr">
        <is>
          <t>Sukanya Pandey</t>
        </is>
      </c>
      <c r="D24" s="27" t="inlineStr">
        <is>
          <t>PhD</t>
        </is>
      </c>
      <c r="E24" s="30" t="inlineStr">
        <is>
          <t>Ph.D. in Medical Technology</t>
        </is>
      </c>
      <c r="F24" s="27" t="n">
        <v>2022</v>
      </c>
      <c r="G24" s="27" t="n">
        <v>2027</v>
      </c>
      <c r="H24" s="25" t="inlineStr">
        <is>
          <t>Alumni</t>
        </is>
      </c>
      <c r="I24" s="30" t="inlineStr">
        <is>
          <t>Medical Technology</t>
        </is>
      </c>
      <c r="J24" s="30" t="inlineStr">
        <is>
          <t>Faculty Board (IDRP / AIIMS-IIT Joint)</t>
        </is>
      </c>
      <c r="K24" s="30" t="inlineStr">
        <is>
          <t>p22id002@iitj.ac.in</t>
        </is>
      </c>
      <c r="L24" s="27" t="inlineStr">
        <is>
          <t>-</t>
        </is>
      </c>
      <c r="M24" s="27" t="n">
        <v>0</v>
      </c>
      <c r="N24" s="30" t="inlineStr">
        <is>
          <t>-</t>
        </is>
      </c>
      <c r="O24" s="27" t="n">
        <v>0</v>
      </c>
      <c r="P24" s="30" t="inlineStr">
        <is>
          <t>-</t>
        </is>
      </c>
      <c r="Q24" s="27" t="n">
        <v>0</v>
      </c>
      <c r="R24" s="30" t="inlineStr">
        <is>
          <t>-</t>
        </is>
      </c>
      <c r="S24" s="27" t="n">
        <v>0</v>
      </c>
      <c r="T24" s="30" t="inlineStr">
        <is>
          <t>-</t>
        </is>
      </c>
      <c r="U24" s="27" t="inlineStr">
        <is>
          <t>-</t>
        </is>
      </c>
      <c r="V24" s="27" t="inlineStr">
        <is>
          <t>-</t>
        </is>
      </c>
      <c r="W24" s="30" t="inlineStr">
        <is>
          <t>Centre for Medical Technologies (IDRP)</t>
        </is>
      </c>
      <c r="X24" s="30" t="inlineStr">
        <is>
          <t>IIT Jodhpur Permanent Campus, NH 62, Karwar</t>
        </is>
      </c>
      <c r="Y24" s="27" t="inlineStr">
        <is>
          <t>Jodhpur</t>
        </is>
      </c>
      <c r="Z24" s="27" t="inlineStr">
        <is>
          <t>Rajasthan</t>
        </is>
      </c>
      <c r="AA24" s="27" t="inlineStr">
        <is>
          <t>342030</t>
        </is>
      </c>
      <c r="AB24" s="30" t="inlineStr">
        <is>
          <t>Official Cohort Registry (IIT Jodhpur MedTech Portal)</t>
        </is>
      </c>
    </row>
    <row r="25" ht="20" customHeight="1">
      <c r="A25" s="21" t="n">
        <v>21</v>
      </c>
      <c r="B25" s="22" t="inlineStr">
        <is>
          <t>P22ID003</t>
        </is>
      </c>
      <c r="C25" s="23" t="inlineStr">
        <is>
          <t>Sangeeta Didel</t>
        </is>
      </c>
      <c r="D25" s="21" t="inlineStr">
        <is>
          <t>PhD</t>
        </is>
      </c>
      <c r="E25" s="24" t="inlineStr">
        <is>
          <t>Ph.D. in Medical Technology</t>
        </is>
      </c>
      <c r="F25" s="21" t="n">
        <v>2022</v>
      </c>
      <c r="G25" s="21" t="n">
        <v>2027</v>
      </c>
      <c r="H25" s="25" t="inlineStr">
        <is>
          <t>Alumni</t>
        </is>
      </c>
      <c r="I25" s="24" t="inlineStr">
        <is>
          <t>Medical Technology</t>
        </is>
      </c>
      <c r="J25" s="24" t="inlineStr">
        <is>
          <t>Faculty Board (IDRP / AIIMS-IIT Joint)</t>
        </is>
      </c>
      <c r="K25" s="24" t="inlineStr">
        <is>
          <t>p22id003@iitj.ac.in</t>
        </is>
      </c>
      <c r="L25" s="21" t="inlineStr">
        <is>
          <t>-</t>
        </is>
      </c>
      <c r="M25" s="21" t="n">
        <v>0</v>
      </c>
      <c r="N25" s="24" t="inlineStr">
        <is>
          <t>-</t>
        </is>
      </c>
      <c r="O25" s="21" t="n">
        <v>0</v>
      </c>
      <c r="P25" s="24" t="inlineStr">
        <is>
          <t>-</t>
        </is>
      </c>
      <c r="Q25" s="21" t="n">
        <v>0</v>
      </c>
      <c r="R25" s="24" t="inlineStr">
        <is>
          <t>-</t>
        </is>
      </c>
      <c r="S25" s="21" t="n">
        <v>0</v>
      </c>
      <c r="T25" s="24" t="inlineStr">
        <is>
          <t>-</t>
        </is>
      </c>
      <c r="U25" s="21" t="inlineStr">
        <is>
          <t>-</t>
        </is>
      </c>
      <c r="V25" s="21" t="inlineStr">
        <is>
          <t>-</t>
        </is>
      </c>
      <c r="W25" s="24" t="inlineStr">
        <is>
          <t>Centre for Medical Technologies (IDRP)</t>
        </is>
      </c>
      <c r="X25" s="24" t="inlineStr">
        <is>
          <t>IIT Jodhpur Permanent Campus, NH 62, Karwar</t>
        </is>
      </c>
      <c r="Y25" s="21" t="inlineStr">
        <is>
          <t>Jodhpur</t>
        </is>
      </c>
      <c r="Z25" s="21" t="inlineStr">
        <is>
          <t>Rajasthan</t>
        </is>
      </c>
      <c r="AA25" s="21" t="inlineStr">
        <is>
          <t>342030</t>
        </is>
      </c>
      <c r="AB25" s="24" t="inlineStr">
        <is>
          <t>Official Cohort Registry (IIT Jodhpur MedTech Portal)</t>
        </is>
      </c>
    </row>
    <row r="26" ht="20" customHeight="1">
      <c r="A26" s="27" t="n">
        <v>22</v>
      </c>
      <c r="B26" s="28" t="inlineStr">
        <is>
          <t>P22ID004</t>
        </is>
      </c>
      <c r="C26" s="29" t="inlineStr">
        <is>
          <t>Rohit Gupta</t>
        </is>
      </c>
      <c r="D26" s="27" t="inlineStr">
        <is>
          <t>PhD</t>
        </is>
      </c>
      <c r="E26" s="30" t="inlineStr">
        <is>
          <t>Ph.D. in Medical Technology</t>
        </is>
      </c>
      <c r="F26" s="27" t="n">
        <v>2022</v>
      </c>
      <c r="G26" s="27" t="n">
        <v>2027</v>
      </c>
      <c r="H26" s="25" t="inlineStr">
        <is>
          <t>Alumni</t>
        </is>
      </c>
      <c r="I26" s="30" t="inlineStr">
        <is>
          <t>Medical Technology</t>
        </is>
      </c>
      <c r="J26" s="30" t="inlineStr">
        <is>
          <t>Faculty Board (IDRP / AIIMS-IIT Joint)</t>
        </is>
      </c>
      <c r="K26" s="30" t="inlineStr">
        <is>
          <t>p22id004@iitj.ac.in</t>
        </is>
      </c>
      <c r="L26" s="27" t="inlineStr">
        <is>
          <t>-</t>
        </is>
      </c>
      <c r="M26" s="27" t="n">
        <v>0</v>
      </c>
      <c r="N26" s="30" t="inlineStr">
        <is>
          <t>-</t>
        </is>
      </c>
      <c r="O26" s="27" t="n">
        <v>0</v>
      </c>
      <c r="P26" s="30" t="inlineStr">
        <is>
          <t>-</t>
        </is>
      </c>
      <c r="Q26" s="27" t="n">
        <v>0</v>
      </c>
      <c r="R26" s="30" t="inlineStr">
        <is>
          <t>-</t>
        </is>
      </c>
      <c r="S26" s="27" t="n">
        <v>0</v>
      </c>
      <c r="T26" s="30" t="inlineStr">
        <is>
          <t>-</t>
        </is>
      </c>
      <c r="U26" s="27" t="inlineStr">
        <is>
          <t>-</t>
        </is>
      </c>
      <c r="V26" s="27" t="inlineStr">
        <is>
          <t>-</t>
        </is>
      </c>
      <c r="W26" s="30" t="inlineStr">
        <is>
          <t>Centre for Medical Technologies (IDRP)</t>
        </is>
      </c>
      <c r="X26" s="30" t="inlineStr">
        <is>
          <t>IIT Jodhpur Permanent Campus, NH 62, Karwar</t>
        </is>
      </c>
      <c r="Y26" s="27" t="inlineStr">
        <is>
          <t>Jodhpur</t>
        </is>
      </c>
      <c r="Z26" s="27" t="inlineStr">
        <is>
          <t>Rajasthan</t>
        </is>
      </c>
      <c r="AA26" s="27" t="inlineStr">
        <is>
          <t>342030</t>
        </is>
      </c>
      <c r="AB26" s="30" t="inlineStr">
        <is>
          <t>Official Cohort Registry (IIT Jodhpur MedTech Portal)</t>
        </is>
      </c>
    </row>
    <row r="27" ht="20" customHeight="1">
      <c r="A27" s="21" t="n">
        <v>23</v>
      </c>
      <c r="B27" s="22" t="inlineStr">
        <is>
          <t>P23IHC003</t>
        </is>
      </c>
      <c r="C27" s="23" t="inlineStr">
        <is>
          <t>Ankita Das</t>
        </is>
      </c>
      <c r="D27" s="21" t="inlineStr">
        <is>
          <t>PhD</t>
        </is>
      </c>
      <c r="E27" s="24" t="inlineStr">
        <is>
          <t>Ph.D. in Medical Technology</t>
        </is>
      </c>
      <c r="F27" s="21" t="n">
        <v>2023</v>
      </c>
      <c r="G27" s="21" t="n">
        <v>2028</v>
      </c>
      <c r="H27" s="31" t="inlineStr">
        <is>
          <t>Active</t>
        </is>
      </c>
      <c r="I27" s="24" t="inlineStr">
        <is>
          <t>Immunology, Biosensors &amp; Translational Diagnostics</t>
        </is>
      </c>
      <c r="J27" s="24" t="inlineStr">
        <is>
          <t>Dr. Sushmita Jha (IIT Jodhpur) &amp; Dr. Bharti Sharma (AIIMS Jodhpur)</t>
        </is>
      </c>
      <c r="K27" s="24" t="inlineStr">
        <is>
          <t>p23ihc003@iitj.ac.in</t>
        </is>
      </c>
      <c r="L27" s="21" t="inlineStr">
        <is>
          <t>+91 98301 98765</t>
        </is>
      </c>
      <c r="M27" s="26" t="n">
        <v>1</v>
      </c>
      <c r="N27" s="24" t="inlineStr">
        <is>
          <t>0 Journals, 1 Conferences, 0 Books. Venues: Immunocon2024 (First Author)</t>
        </is>
      </c>
      <c r="O27" s="21" t="n">
        <v>0</v>
      </c>
      <c r="P27" s="24" t="inlineStr">
        <is>
          <t>-</t>
        </is>
      </c>
      <c r="Q27" s="21" t="n">
        <v>0</v>
      </c>
      <c r="R27" s="24" t="inlineStr">
        <is>
          <t>-</t>
        </is>
      </c>
      <c r="S27" s="21" t="n">
        <v>0</v>
      </c>
      <c r="T27" s="24" t="inlineStr">
        <is>
          <t>-</t>
        </is>
      </c>
      <c r="U27" s="21" t="inlineStr">
        <is>
          <t>1999-07-19</t>
        </is>
      </c>
      <c r="V27" s="21" t="inlineStr">
        <is>
          <t>Female</t>
        </is>
      </c>
      <c r="W27" s="24" t="inlineStr">
        <is>
          <t>Centre for Medical Technologies (IDRP)</t>
        </is>
      </c>
      <c r="X27" s="24" t="inlineStr">
        <is>
          <t>Ph.D. Girls Hostel Block D, Room 112, IIT Jodhpur</t>
        </is>
      </c>
      <c r="Y27" s="21" t="inlineStr">
        <is>
          <t>Jodhpur</t>
        </is>
      </c>
      <c r="Z27" s="21" t="inlineStr">
        <is>
          <t>Rajasthan</t>
        </is>
      </c>
      <c r="AA27" s="21" t="inlineStr">
        <is>
          <t>342030</t>
        </is>
      </c>
      <c r="AB27" s="24" t="inlineStr">
        <is>
          <t>Centre for Medical Technologies Seed Registry</t>
        </is>
      </c>
    </row>
    <row r="28" ht="20" customHeight="1">
      <c r="A28" s="27" t="n">
        <v>24</v>
      </c>
      <c r="B28" s="28" t="inlineStr">
        <is>
          <t>P23IM0001</t>
        </is>
      </c>
      <c r="C28" s="29" t="inlineStr">
        <is>
          <t>Dhruv Khokhriya</t>
        </is>
      </c>
      <c r="D28" s="27" t="inlineStr">
        <is>
          <t>PhD</t>
        </is>
      </c>
      <c r="E28" s="30" t="inlineStr">
        <is>
          <t>Ph.D. in Medical Technology</t>
        </is>
      </c>
      <c r="F28" s="27" t="n">
        <v>2023</v>
      </c>
      <c r="G28" s="27" t="n">
        <v>2028</v>
      </c>
      <c r="H28" s="25" t="inlineStr">
        <is>
          <t>Alumni</t>
        </is>
      </c>
      <c r="I28" s="30" t="inlineStr">
        <is>
          <t>Medical Technology</t>
        </is>
      </c>
      <c r="J28" s="30" t="inlineStr">
        <is>
          <t>Faculty Board (IDRP / AIIMS-IIT Joint)</t>
        </is>
      </c>
      <c r="K28" s="30" t="inlineStr">
        <is>
          <t>p23im0001@iitj.ac.in</t>
        </is>
      </c>
      <c r="L28" s="27" t="inlineStr">
        <is>
          <t>-</t>
        </is>
      </c>
      <c r="M28" s="27" t="n">
        <v>0</v>
      </c>
      <c r="N28" s="30" t="inlineStr">
        <is>
          <t>-</t>
        </is>
      </c>
      <c r="O28" s="27" t="n">
        <v>0</v>
      </c>
      <c r="P28" s="30" t="inlineStr">
        <is>
          <t>-</t>
        </is>
      </c>
      <c r="Q28" s="27" t="n">
        <v>0</v>
      </c>
      <c r="R28" s="30" t="inlineStr">
        <is>
          <t>-</t>
        </is>
      </c>
      <c r="S28" s="27" t="n">
        <v>0</v>
      </c>
      <c r="T28" s="30" t="inlineStr">
        <is>
          <t>-</t>
        </is>
      </c>
      <c r="U28" s="27" t="inlineStr">
        <is>
          <t>-</t>
        </is>
      </c>
      <c r="V28" s="27" t="inlineStr">
        <is>
          <t>-</t>
        </is>
      </c>
      <c r="W28" s="30" t="inlineStr">
        <is>
          <t>Centre for Medical Technologies (IDRP)</t>
        </is>
      </c>
      <c r="X28" s="30" t="inlineStr">
        <is>
          <t>IIT Jodhpur Permanent Campus, NH 62, Karwar</t>
        </is>
      </c>
      <c r="Y28" s="27" t="inlineStr">
        <is>
          <t>Jodhpur</t>
        </is>
      </c>
      <c r="Z28" s="27" t="inlineStr">
        <is>
          <t>Rajasthan</t>
        </is>
      </c>
      <c r="AA28" s="27" t="inlineStr">
        <is>
          <t>342030</t>
        </is>
      </c>
      <c r="AB28" s="30" t="inlineStr">
        <is>
          <t>Official Cohort Registry (IIT Jodhpur MedTech Portal)</t>
        </is>
      </c>
    </row>
    <row r="29" ht="20" customHeight="1">
      <c r="A29" s="21" t="n">
        <v>25</v>
      </c>
      <c r="B29" s="22" t="inlineStr">
        <is>
          <t>P24IHC001</t>
        </is>
      </c>
      <c r="C29" s="23" t="inlineStr">
        <is>
          <t>Ananta Kapoor</t>
        </is>
      </c>
      <c r="D29" s="21" t="inlineStr">
        <is>
          <t>PhD</t>
        </is>
      </c>
      <c r="E29" s="24" t="inlineStr">
        <is>
          <t>Ph.D. in Medical Technology</t>
        </is>
      </c>
      <c r="F29" s="21" t="n">
        <v>2024</v>
      </c>
      <c r="G29" s="21" t="n">
        <v>2029</v>
      </c>
      <c r="H29" s="31" t="inlineStr">
        <is>
          <t>Active</t>
        </is>
      </c>
      <c r="I29" s="24" t="inlineStr">
        <is>
          <t>Computational Biology, AI &amp; Brain Connectivity</t>
        </is>
      </c>
      <c r="J29" s="24" t="inlineStr">
        <is>
          <t>Dr. Romi Banerjee (IIT Jodhpur) &amp; Prof. Surajit Ghosh (IIT Jodhpur)</t>
        </is>
      </c>
      <c r="K29" s="24" t="inlineStr">
        <is>
          <t>p24ihc001@iitj.ac.in</t>
        </is>
      </c>
      <c r="L29" s="21" t="inlineStr">
        <is>
          <t>+91 97110 54321</t>
        </is>
      </c>
      <c r="M29" s="26" t="n">
        <v>2</v>
      </c>
      <c r="N29" s="24" t="inlineStr">
        <is>
          <t>0 Journals, 2 Conferences, 0 Books. Venues: EMBL Heidelberg AI and Biology poster presentation, FENS Denmark Brain Conference  (First Author)</t>
        </is>
      </c>
      <c r="O29" s="21" t="n">
        <v>0</v>
      </c>
      <c r="P29" s="24" t="inlineStr">
        <is>
          <t>-</t>
        </is>
      </c>
      <c r="Q29" s="21" t="n">
        <v>0</v>
      </c>
      <c r="R29" s="24" t="inlineStr">
        <is>
          <t>-</t>
        </is>
      </c>
      <c r="S29" s="21" t="n">
        <v>0</v>
      </c>
      <c r="T29" s="24" t="inlineStr">
        <is>
          <t>-</t>
        </is>
      </c>
      <c r="U29" s="21" t="inlineStr">
        <is>
          <t>1999-11-05</t>
        </is>
      </c>
      <c r="V29" s="21" t="inlineStr">
        <is>
          <t>Female</t>
        </is>
      </c>
      <c r="W29" s="24" t="inlineStr">
        <is>
          <t>Centre for Medical Technologies (IDRP)</t>
        </is>
      </c>
      <c r="X29" s="24" t="inlineStr">
        <is>
          <t>Ph.D. Girls Hostel Block D, Room 204, IIT Jodhpur</t>
        </is>
      </c>
      <c r="Y29" s="21" t="inlineStr">
        <is>
          <t>Jodhpur</t>
        </is>
      </c>
      <c r="Z29" s="21" t="inlineStr">
        <is>
          <t>Rajasthan</t>
        </is>
      </c>
      <c r="AA29" s="21" t="inlineStr">
        <is>
          <t>342030</t>
        </is>
      </c>
      <c r="AB29" s="24" t="inlineStr">
        <is>
          <t>Centre for Medical Technologies Seed Registry</t>
        </is>
      </c>
    </row>
    <row r="30" ht="20" customHeight="1">
      <c r="A30" s="27" t="n">
        <v>26</v>
      </c>
      <c r="B30" s="28" t="inlineStr">
        <is>
          <t>P24IM0002</t>
        </is>
      </c>
      <c r="C30" s="29" t="inlineStr">
        <is>
          <t>Parul Kumawat</t>
        </is>
      </c>
      <c r="D30" s="27" t="inlineStr">
        <is>
          <t>PhD</t>
        </is>
      </c>
      <c r="E30" s="30" t="inlineStr">
        <is>
          <t>Ph.D. in Medical Technology</t>
        </is>
      </c>
      <c r="F30" s="27" t="n">
        <v>2024</v>
      </c>
      <c r="G30" s="27" t="n">
        <v>2029</v>
      </c>
      <c r="H30" s="31" t="inlineStr">
        <is>
          <t>Active</t>
        </is>
      </c>
      <c r="I30" s="30" t="inlineStr">
        <is>
          <t>Medical Technology</t>
        </is>
      </c>
      <c r="J30" s="30" t="inlineStr">
        <is>
          <t>Faculty Board (IDRP / AIIMS-IIT Joint)</t>
        </is>
      </c>
      <c r="K30" s="30" t="inlineStr">
        <is>
          <t>p24im0002@iitj.ac.in</t>
        </is>
      </c>
      <c r="L30" s="27" t="inlineStr">
        <is>
          <t>-</t>
        </is>
      </c>
      <c r="M30" s="27" t="n">
        <v>0</v>
      </c>
      <c r="N30" s="30" t="inlineStr">
        <is>
          <t>0 Journals, 0 Conferences, 0 Books. Venues: No (First Author)</t>
        </is>
      </c>
      <c r="O30" s="27" t="n">
        <v>0</v>
      </c>
      <c r="P30" s="30" t="inlineStr">
        <is>
          <t>-</t>
        </is>
      </c>
      <c r="Q30" s="27" t="n">
        <v>0</v>
      </c>
      <c r="R30" s="30" t="inlineStr">
        <is>
          <t>-</t>
        </is>
      </c>
      <c r="S30" s="27" t="n">
        <v>0</v>
      </c>
      <c r="T30" s="30" t="inlineStr">
        <is>
          <t>-</t>
        </is>
      </c>
      <c r="U30" s="27" t="inlineStr">
        <is>
          <t>-</t>
        </is>
      </c>
      <c r="V30" s="27" t="inlineStr">
        <is>
          <t>-</t>
        </is>
      </c>
      <c r="W30" s="30" t="inlineStr">
        <is>
          <t>Centre for Medical Technologies (IDRP)</t>
        </is>
      </c>
      <c r="X30" s="30" t="inlineStr">
        <is>
          <t>IIT Jodhpur Permanent Campus, NH 62, Karwar</t>
        </is>
      </c>
      <c r="Y30" s="27" t="inlineStr">
        <is>
          <t>Jodhpur</t>
        </is>
      </c>
      <c r="Z30" s="27" t="inlineStr">
        <is>
          <t>Rajasthan</t>
        </is>
      </c>
      <c r="AA30" s="27" t="inlineStr">
        <is>
          <t>342030</t>
        </is>
      </c>
      <c r="AB30" s="30" t="inlineStr">
        <is>
          <t>Official Cohort Registry (IIT Jodhpur MedTech Portal)</t>
        </is>
      </c>
    </row>
    <row r="31" ht="20" customHeight="1">
      <c r="A31" s="21" t="n">
        <v>27</v>
      </c>
      <c r="B31" s="22" t="inlineStr">
        <is>
          <t>P25IM0001</t>
        </is>
      </c>
      <c r="C31" s="23" t="inlineStr">
        <is>
          <t>Deepika Yadav</t>
        </is>
      </c>
      <c r="D31" s="21" t="inlineStr">
        <is>
          <t>PhD</t>
        </is>
      </c>
      <c r="E31" s="24" t="inlineStr">
        <is>
          <t>Ph.D. in Medical Technology</t>
        </is>
      </c>
      <c r="F31" s="21" t="n">
        <v>2025</v>
      </c>
      <c r="G31" s="21" t="n">
        <v>2030</v>
      </c>
      <c r="H31" s="31" t="inlineStr">
        <is>
          <t>Active</t>
        </is>
      </c>
      <c r="I31" s="24" t="inlineStr">
        <is>
          <t>Medical Technology</t>
        </is>
      </c>
      <c r="J31" s="24" t="inlineStr">
        <is>
          <t>Faculty Board (IDRP / AIIMS-IIT Joint)</t>
        </is>
      </c>
      <c r="K31" s="24" t="inlineStr">
        <is>
          <t>p25im0001@iitj.ac.in</t>
        </is>
      </c>
      <c r="L31" s="21" t="inlineStr">
        <is>
          <t>-</t>
        </is>
      </c>
      <c r="M31" s="21" t="n">
        <v>0</v>
      </c>
      <c r="N31" s="24" t="inlineStr">
        <is>
          <t>-</t>
        </is>
      </c>
      <c r="O31" s="21" t="n">
        <v>0</v>
      </c>
      <c r="P31" s="24" t="inlineStr">
        <is>
          <t>-</t>
        </is>
      </c>
      <c r="Q31" s="21" t="n">
        <v>0</v>
      </c>
      <c r="R31" s="24" t="inlineStr">
        <is>
          <t>-</t>
        </is>
      </c>
      <c r="S31" s="21" t="n">
        <v>0</v>
      </c>
      <c r="T31" s="24" t="inlineStr">
        <is>
          <t>-</t>
        </is>
      </c>
      <c r="U31" s="21" t="inlineStr">
        <is>
          <t>-</t>
        </is>
      </c>
      <c r="V31" s="21" t="inlineStr">
        <is>
          <t>-</t>
        </is>
      </c>
      <c r="W31" s="24" t="inlineStr">
        <is>
          <t>Centre for Medical Technologies (IDRP)</t>
        </is>
      </c>
      <c r="X31" s="24" t="inlineStr">
        <is>
          <t>IIT Jodhpur Permanent Campus, NH 62, Karwar</t>
        </is>
      </c>
      <c r="Y31" s="21" t="inlineStr">
        <is>
          <t>Jodhpur</t>
        </is>
      </c>
      <c r="Z31" s="21" t="inlineStr">
        <is>
          <t>Rajasthan</t>
        </is>
      </c>
      <c r="AA31" s="21" t="inlineStr">
        <is>
          <t>342030</t>
        </is>
      </c>
      <c r="AB31" s="24" t="inlineStr">
        <is>
          <t>Official Cohort Registry (IIT Jodhpur MedTech Portal)</t>
        </is>
      </c>
    </row>
    <row r="32" ht="20" customHeight="1">
      <c r="A32" s="27" t="n">
        <v>28</v>
      </c>
      <c r="B32" s="28" t="inlineStr">
        <is>
          <t>P25IM0002</t>
        </is>
      </c>
      <c r="C32" s="29" t="inlineStr">
        <is>
          <t>Prachi Chaudhary</t>
        </is>
      </c>
      <c r="D32" s="27" t="inlineStr">
        <is>
          <t>PhD</t>
        </is>
      </c>
      <c r="E32" s="30" t="inlineStr">
        <is>
          <t>Ph.D. in Medical Technology</t>
        </is>
      </c>
      <c r="F32" s="27" t="n">
        <v>2025</v>
      </c>
      <c r="G32" s="27" t="n">
        <v>2030</v>
      </c>
      <c r="H32" s="31" t="inlineStr">
        <is>
          <t>Active</t>
        </is>
      </c>
      <c r="I32" s="30" t="inlineStr">
        <is>
          <t>Medical Technology</t>
        </is>
      </c>
      <c r="J32" s="30" t="inlineStr">
        <is>
          <t>Faculty Board (IDRP / AIIMS-IIT Joint)</t>
        </is>
      </c>
      <c r="K32" s="30" t="inlineStr">
        <is>
          <t>p25im0002@iitj.ac.in</t>
        </is>
      </c>
      <c r="L32" s="27" t="inlineStr">
        <is>
          <t>-</t>
        </is>
      </c>
      <c r="M32" s="27" t="n">
        <v>0</v>
      </c>
      <c r="N32" s="30" t="inlineStr">
        <is>
          <t>-</t>
        </is>
      </c>
      <c r="O32" s="27" t="n">
        <v>0</v>
      </c>
      <c r="P32" s="30" t="inlineStr">
        <is>
          <t>-</t>
        </is>
      </c>
      <c r="Q32" s="27" t="n">
        <v>0</v>
      </c>
      <c r="R32" s="30" t="inlineStr">
        <is>
          <t>-</t>
        </is>
      </c>
      <c r="S32" s="27" t="n">
        <v>0</v>
      </c>
      <c r="T32" s="30" t="inlineStr">
        <is>
          <t>-</t>
        </is>
      </c>
      <c r="U32" s="27" t="inlineStr">
        <is>
          <t>-</t>
        </is>
      </c>
      <c r="V32" s="27" t="inlineStr">
        <is>
          <t>-</t>
        </is>
      </c>
      <c r="W32" s="30" t="inlineStr">
        <is>
          <t>Centre for Medical Technologies (IDRP)</t>
        </is>
      </c>
      <c r="X32" s="30" t="inlineStr">
        <is>
          <t>IIT Jodhpur Permanent Campus, NH 62, Karwar</t>
        </is>
      </c>
      <c r="Y32" s="27" t="inlineStr">
        <is>
          <t>Jodhpur</t>
        </is>
      </c>
      <c r="Z32" s="27" t="inlineStr">
        <is>
          <t>Rajasthan</t>
        </is>
      </c>
      <c r="AA32" s="27" t="inlineStr">
        <is>
          <t>342030</t>
        </is>
      </c>
      <c r="AB32" s="30" t="inlineStr">
        <is>
          <t>Official Cohort Registry (IIT Jodhpur MedTech Portal)</t>
        </is>
      </c>
    </row>
    <row r="33" ht="20" customHeight="1">
      <c r="A33" s="21" t="n">
        <v>29</v>
      </c>
      <c r="B33" s="22" t="inlineStr">
        <is>
          <t>P25IM0003</t>
        </is>
      </c>
      <c r="C33" s="23" t="inlineStr">
        <is>
          <t>Rakshit Vyas</t>
        </is>
      </c>
      <c r="D33" s="21" t="inlineStr">
        <is>
          <t>PhD</t>
        </is>
      </c>
      <c r="E33" s="24" t="inlineStr">
        <is>
          <t>Ph.D. in Medical Technology</t>
        </is>
      </c>
      <c r="F33" s="21" t="n">
        <v>2025</v>
      </c>
      <c r="G33" s="21" t="n">
        <v>2030</v>
      </c>
      <c r="H33" s="31" t="inlineStr">
        <is>
          <t>Active</t>
        </is>
      </c>
      <c r="I33" s="24" t="inlineStr">
        <is>
          <t>Medical Technology</t>
        </is>
      </c>
      <c r="J33" s="24" t="inlineStr">
        <is>
          <t>Faculty Board (IDRP / AIIMS-IIT Joint)</t>
        </is>
      </c>
      <c r="K33" s="24" t="inlineStr">
        <is>
          <t>p25im0003@iitj.ac.in</t>
        </is>
      </c>
      <c r="L33" s="21" t="inlineStr">
        <is>
          <t>-</t>
        </is>
      </c>
      <c r="M33" s="21" t="n">
        <v>0</v>
      </c>
      <c r="N33" s="24" t="inlineStr">
        <is>
          <t>-</t>
        </is>
      </c>
      <c r="O33" s="21" t="n">
        <v>0</v>
      </c>
      <c r="P33" s="24" t="inlineStr">
        <is>
          <t>-</t>
        </is>
      </c>
      <c r="Q33" s="21" t="n">
        <v>0</v>
      </c>
      <c r="R33" s="24" t="inlineStr">
        <is>
          <t>-</t>
        </is>
      </c>
      <c r="S33" s="21" t="n">
        <v>0</v>
      </c>
      <c r="T33" s="24" t="inlineStr">
        <is>
          <t>-</t>
        </is>
      </c>
      <c r="U33" s="21" t="inlineStr">
        <is>
          <t>-</t>
        </is>
      </c>
      <c r="V33" s="21" t="inlineStr">
        <is>
          <t>-</t>
        </is>
      </c>
      <c r="W33" s="24" t="inlineStr">
        <is>
          <t>Centre for Medical Technologies (IDRP)</t>
        </is>
      </c>
      <c r="X33" s="24" t="inlineStr">
        <is>
          <t>IIT Jodhpur Permanent Campus, NH 62, Karwar</t>
        </is>
      </c>
      <c r="Y33" s="21" t="inlineStr">
        <is>
          <t>Jodhpur</t>
        </is>
      </c>
      <c r="Z33" s="21" t="inlineStr">
        <is>
          <t>Rajasthan</t>
        </is>
      </c>
      <c r="AA33" s="21" t="inlineStr">
        <is>
          <t>342030</t>
        </is>
      </c>
      <c r="AB33" s="24" t="inlineStr">
        <is>
          <t>Official Cohort Registry (IIT Jodhpur MedTech Portal)</t>
        </is>
      </c>
    </row>
    <row r="34" ht="20" customHeight="1">
      <c r="A34" s="27" t="n">
        <v>30</v>
      </c>
      <c r="B34" s="28" t="inlineStr">
        <is>
          <t>P25IM0005</t>
        </is>
      </c>
      <c r="C34" s="29" t="inlineStr">
        <is>
          <t>Shweta Yadav</t>
        </is>
      </c>
      <c r="D34" s="27" t="inlineStr">
        <is>
          <t>PhD</t>
        </is>
      </c>
      <c r="E34" s="30" t="inlineStr">
        <is>
          <t>Ph.D. in Medical Technology</t>
        </is>
      </c>
      <c r="F34" s="27" t="n">
        <v>2025</v>
      </c>
      <c r="G34" s="27" t="n">
        <v>2030</v>
      </c>
      <c r="H34" s="31" t="inlineStr">
        <is>
          <t>Active</t>
        </is>
      </c>
      <c r="I34" s="30" t="inlineStr">
        <is>
          <t>Medical Technology</t>
        </is>
      </c>
      <c r="J34" s="30" t="inlineStr">
        <is>
          <t>Faculty Board (IDRP / AIIMS-IIT Joint)</t>
        </is>
      </c>
      <c r="K34" s="30" t="inlineStr">
        <is>
          <t>p25im0005@iitj.ac.in</t>
        </is>
      </c>
      <c r="L34" s="27" t="inlineStr">
        <is>
          <t>-</t>
        </is>
      </c>
      <c r="M34" s="27" t="n">
        <v>0</v>
      </c>
      <c r="N34" s="30" t="inlineStr">
        <is>
          <t>-</t>
        </is>
      </c>
      <c r="O34" s="27" t="n">
        <v>0</v>
      </c>
      <c r="P34" s="30" t="inlineStr">
        <is>
          <t>-</t>
        </is>
      </c>
      <c r="Q34" s="27" t="n">
        <v>0</v>
      </c>
      <c r="R34" s="30" t="inlineStr">
        <is>
          <t>-</t>
        </is>
      </c>
      <c r="S34" s="27" t="n">
        <v>0</v>
      </c>
      <c r="T34" s="30" t="inlineStr">
        <is>
          <t>-</t>
        </is>
      </c>
      <c r="U34" s="27" t="inlineStr">
        <is>
          <t>-</t>
        </is>
      </c>
      <c r="V34" s="27" t="inlineStr">
        <is>
          <t>-</t>
        </is>
      </c>
      <c r="W34" s="30" t="inlineStr">
        <is>
          <t>Centre for Medical Technologies (IDRP)</t>
        </is>
      </c>
      <c r="X34" s="30" t="inlineStr">
        <is>
          <t>IIT Jodhpur Permanent Campus, NH 62, Karwar</t>
        </is>
      </c>
      <c r="Y34" s="27" t="inlineStr">
        <is>
          <t>Jodhpur</t>
        </is>
      </c>
      <c r="Z34" s="27" t="inlineStr">
        <is>
          <t>Rajasthan</t>
        </is>
      </c>
      <c r="AA34" s="27" t="inlineStr">
        <is>
          <t>342030</t>
        </is>
      </c>
      <c r="AB34" s="30" t="inlineStr">
        <is>
          <t>Official Cohort Registry (IIT Jodhpur MedTech Portal)</t>
        </is>
      </c>
    </row>
    <row r="35" ht="20" customHeight="1">
      <c r="A35" s="21" t="n">
        <v>31</v>
      </c>
      <c r="B35" s="22" t="inlineStr">
        <is>
          <t>P25IM0006</t>
        </is>
      </c>
      <c r="C35" s="23" t="inlineStr">
        <is>
          <t>Swati Yadav</t>
        </is>
      </c>
      <c r="D35" s="21" t="inlineStr">
        <is>
          <t>PhD</t>
        </is>
      </c>
      <c r="E35" s="24" t="inlineStr">
        <is>
          <t>Ph.D. in Medical Technology</t>
        </is>
      </c>
      <c r="F35" s="21" t="n">
        <v>2025</v>
      </c>
      <c r="G35" s="21" t="n">
        <v>2030</v>
      </c>
      <c r="H35" s="31" t="inlineStr">
        <is>
          <t>Active</t>
        </is>
      </c>
      <c r="I35" s="24" t="inlineStr">
        <is>
          <t>Medical Technology</t>
        </is>
      </c>
      <c r="J35" s="24" t="inlineStr">
        <is>
          <t>Faculty Board (IDRP / AIIMS-IIT Joint)</t>
        </is>
      </c>
      <c r="K35" s="24" t="inlineStr">
        <is>
          <t>p25im0006@iitj.ac.in</t>
        </is>
      </c>
      <c r="L35" s="21" t="inlineStr">
        <is>
          <t>-</t>
        </is>
      </c>
      <c r="M35" s="21" t="n">
        <v>0</v>
      </c>
      <c r="N35" s="24" t="inlineStr">
        <is>
          <t>-</t>
        </is>
      </c>
      <c r="O35" s="21" t="n">
        <v>0</v>
      </c>
      <c r="P35" s="24" t="inlineStr">
        <is>
          <t>-</t>
        </is>
      </c>
      <c r="Q35" s="21" t="n">
        <v>0</v>
      </c>
      <c r="R35" s="24" t="inlineStr">
        <is>
          <t>-</t>
        </is>
      </c>
      <c r="S35" s="21" t="n">
        <v>0</v>
      </c>
      <c r="T35" s="24" t="inlineStr">
        <is>
          <t>-</t>
        </is>
      </c>
      <c r="U35" s="21" t="inlineStr">
        <is>
          <t>-</t>
        </is>
      </c>
      <c r="V35" s="21" t="inlineStr">
        <is>
          <t>-</t>
        </is>
      </c>
      <c r="W35" s="24" t="inlineStr">
        <is>
          <t>Centre for Medical Technologies (IDRP)</t>
        </is>
      </c>
      <c r="X35" s="24" t="inlineStr">
        <is>
          <t>IIT Jodhpur Permanent Campus, NH 62, Karwar</t>
        </is>
      </c>
      <c r="Y35" s="21" t="inlineStr">
        <is>
          <t>Jodhpur</t>
        </is>
      </c>
      <c r="Z35" s="21" t="inlineStr">
        <is>
          <t>Rajasthan</t>
        </is>
      </c>
      <c r="AA35" s="21" t="inlineStr">
        <is>
          <t>342030</t>
        </is>
      </c>
      <c r="AB35" s="24" t="inlineStr">
        <is>
          <t>Official Cohort Registry (IIT Jodhpur MedTech Portal)</t>
        </is>
      </c>
    </row>
    <row r="36" ht="20" customHeight="1">
      <c r="A36" s="27" t="n">
        <v>32</v>
      </c>
      <c r="B36" s="28" t="inlineStr">
        <is>
          <t>P26IM0001</t>
        </is>
      </c>
      <c r="C36" s="29" t="inlineStr">
        <is>
          <t>Bhanu Pratap Singh Chauhan</t>
        </is>
      </c>
      <c r="D36" s="27" t="inlineStr">
        <is>
          <t>PhD</t>
        </is>
      </c>
      <c r="E36" s="30" t="inlineStr">
        <is>
          <t>Ph.D. in Medical Technology</t>
        </is>
      </c>
      <c r="F36" s="27" t="n">
        <v>2026</v>
      </c>
      <c r="G36" s="27" t="n">
        <v>2031</v>
      </c>
      <c r="H36" s="31" t="inlineStr">
        <is>
          <t>Active</t>
        </is>
      </c>
      <c r="I36" s="30" t="inlineStr">
        <is>
          <t>Medical Technology</t>
        </is>
      </c>
      <c r="J36" s="30" t="inlineStr">
        <is>
          <t>Faculty Board (IDRP / AIIMS-IIT Joint)</t>
        </is>
      </c>
      <c r="K36" s="30" t="inlineStr">
        <is>
          <t>p26im0001@iitj.ac.in</t>
        </is>
      </c>
      <c r="L36" s="27" t="inlineStr">
        <is>
          <t>-</t>
        </is>
      </c>
      <c r="M36" s="27" t="n">
        <v>0</v>
      </c>
      <c r="N36" s="30" t="inlineStr">
        <is>
          <t>-</t>
        </is>
      </c>
      <c r="O36" s="27" t="n">
        <v>0</v>
      </c>
      <c r="P36" s="30" t="inlineStr">
        <is>
          <t>-</t>
        </is>
      </c>
      <c r="Q36" s="27" t="n">
        <v>0</v>
      </c>
      <c r="R36" s="30" t="inlineStr">
        <is>
          <t>-</t>
        </is>
      </c>
      <c r="S36" s="27" t="n">
        <v>0</v>
      </c>
      <c r="T36" s="30" t="inlineStr">
        <is>
          <t>-</t>
        </is>
      </c>
      <c r="U36" s="27" t="inlineStr">
        <is>
          <t>-</t>
        </is>
      </c>
      <c r="V36" s="27" t="inlineStr">
        <is>
          <t>-</t>
        </is>
      </c>
      <c r="W36" s="30" t="inlineStr">
        <is>
          <t>Centre for Medical Technologies (IDRP)</t>
        </is>
      </c>
      <c r="X36" s="30" t="inlineStr">
        <is>
          <t>IIT Jodhpur Permanent Campus, NH 62, Karwar</t>
        </is>
      </c>
      <c r="Y36" s="27" t="inlineStr">
        <is>
          <t>Jodhpur</t>
        </is>
      </c>
      <c r="Z36" s="27" t="inlineStr">
        <is>
          <t>Rajasthan</t>
        </is>
      </c>
      <c r="AA36" s="27" t="inlineStr">
        <is>
          <t>342030</t>
        </is>
      </c>
      <c r="AB36" s="30" t="inlineStr">
        <is>
          <t>Official Cohort Registry (IIT Jodhpur MedTech Portal)</t>
        </is>
      </c>
    </row>
    <row r="37" ht="20" customHeight="1">
      <c r="A37" s="21" t="n">
        <v>33</v>
      </c>
      <c r="B37" s="22" t="inlineStr">
        <is>
          <t>P26IM0002</t>
        </is>
      </c>
      <c r="C37" s="23" t="inlineStr">
        <is>
          <t>Chahat Bawa</t>
        </is>
      </c>
      <c r="D37" s="21" t="inlineStr">
        <is>
          <t>PhD</t>
        </is>
      </c>
      <c r="E37" s="24" t="inlineStr">
        <is>
          <t>Ph.D. in Medical Technology</t>
        </is>
      </c>
      <c r="F37" s="21" t="n">
        <v>2026</v>
      </c>
      <c r="G37" s="21" t="n">
        <v>2031</v>
      </c>
      <c r="H37" s="31" t="inlineStr">
        <is>
          <t>Active</t>
        </is>
      </c>
      <c r="I37" s="24" t="inlineStr">
        <is>
          <t>Medical Technology</t>
        </is>
      </c>
      <c r="J37" s="24" t="inlineStr">
        <is>
          <t>Faculty Board (IDRP / AIIMS-IIT Joint)</t>
        </is>
      </c>
      <c r="K37" s="24" t="inlineStr">
        <is>
          <t>p26im0002@iitj.ac.in</t>
        </is>
      </c>
      <c r="L37" s="21" t="inlineStr">
        <is>
          <t>-</t>
        </is>
      </c>
      <c r="M37" s="21" t="n">
        <v>0</v>
      </c>
      <c r="N37" s="24" t="inlineStr">
        <is>
          <t>-</t>
        </is>
      </c>
      <c r="O37" s="21" t="n">
        <v>0</v>
      </c>
      <c r="P37" s="24" t="inlineStr">
        <is>
          <t>-</t>
        </is>
      </c>
      <c r="Q37" s="21" t="n">
        <v>0</v>
      </c>
      <c r="R37" s="24" t="inlineStr">
        <is>
          <t>-</t>
        </is>
      </c>
      <c r="S37" s="21" t="n">
        <v>0</v>
      </c>
      <c r="T37" s="24" t="inlineStr">
        <is>
          <t>-</t>
        </is>
      </c>
      <c r="U37" s="21" t="inlineStr">
        <is>
          <t>-</t>
        </is>
      </c>
      <c r="V37" s="21" t="inlineStr">
        <is>
          <t>-</t>
        </is>
      </c>
      <c r="W37" s="24" t="inlineStr">
        <is>
          <t>Centre for Medical Technologies (IDRP)</t>
        </is>
      </c>
      <c r="X37" s="24" t="inlineStr">
        <is>
          <t>IIT Jodhpur Permanent Campus, NH 62, Karwar</t>
        </is>
      </c>
      <c r="Y37" s="21" t="inlineStr">
        <is>
          <t>Jodhpur</t>
        </is>
      </c>
      <c r="Z37" s="21" t="inlineStr">
        <is>
          <t>Rajasthan</t>
        </is>
      </c>
      <c r="AA37" s="21" t="inlineStr">
        <is>
          <t>342030</t>
        </is>
      </c>
      <c r="AB37" s="24" t="inlineStr">
        <is>
          <t>Official Cohort Registry (IIT Jodhpur MedTech Portal)</t>
        </is>
      </c>
    </row>
    <row r="38" ht="20" customHeight="1">
      <c r="A38" s="27" t="n">
        <v>34</v>
      </c>
      <c r="B38" s="28" t="inlineStr">
        <is>
          <t>P26IM0003</t>
        </is>
      </c>
      <c r="C38" s="29" t="inlineStr">
        <is>
          <t>Pooja</t>
        </is>
      </c>
      <c r="D38" s="27" t="inlineStr">
        <is>
          <t>PhD</t>
        </is>
      </c>
      <c r="E38" s="30" t="inlineStr">
        <is>
          <t>Ph.D. in Medical Technology</t>
        </is>
      </c>
      <c r="F38" s="27" t="n">
        <v>2026</v>
      </c>
      <c r="G38" s="27" t="n">
        <v>2031</v>
      </c>
      <c r="H38" s="31" t="inlineStr">
        <is>
          <t>Active</t>
        </is>
      </c>
      <c r="I38" s="30" t="inlineStr">
        <is>
          <t>Medical Technology</t>
        </is>
      </c>
      <c r="J38" s="30" t="inlineStr">
        <is>
          <t>Faculty Board (IDRP / AIIMS-IIT Joint)</t>
        </is>
      </c>
      <c r="K38" s="30" t="inlineStr">
        <is>
          <t>p26im0003@iitj.ac.in</t>
        </is>
      </c>
      <c r="L38" s="27" t="inlineStr">
        <is>
          <t>-</t>
        </is>
      </c>
      <c r="M38" s="27" t="n">
        <v>0</v>
      </c>
      <c r="N38" s="30" t="inlineStr">
        <is>
          <t>-</t>
        </is>
      </c>
      <c r="O38" s="27" t="n">
        <v>0</v>
      </c>
      <c r="P38" s="30" t="inlineStr">
        <is>
          <t>-</t>
        </is>
      </c>
      <c r="Q38" s="27" t="n">
        <v>0</v>
      </c>
      <c r="R38" s="30" t="inlineStr">
        <is>
          <t>-</t>
        </is>
      </c>
      <c r="S38" s="27" t="n">
        <v>0</v>
      </c>
      <c r="T38" s="30" t="inlineStr">
        <is>
          <t>-</t>
        </is>
      </c>
      <c r="U38" s="27" t="inlineStr">
        <is>
          <t>-</t>
        </is>
      </c>
      <c r="V38" s="27" t="inlineStr">
        <is>
          <t>-</t>
        </is>
      </c>
      <c r="W38" s="30" t="inlineStr">
        <is>
          <t>Centre for Medical Technologies (IDRP)</t>
        </is>
      </c>
      <c r="X38" s="30" t="inlineStr">
        <is>
          <t>IIT Jodhpur Permanent Campus, NH 62, Karwar</t>
        </is>
      </c>
      <c r="Y38" s="27" t="inlineStr">
        <is>
          <t>Jodhpur</t>
        </is>
      </c>
      <c r="Z38" s="27" t="inlineStr">
        <is>
          <t>Rajasthan</t>
        </is>
      </c>
      <c r="AA38" s="27" t="inlineStr">
        <is>
          <t>342030</t>
        </is>
      </c>
      <c r="AB38" s="30" t="inlineStr">
        <is>
          <t>Official Cohort Registry (IIT Jodhpur MedTech Portal)</t>
        </is>
      </c>
    </row>
    <row r="39" ht="20" customHeight="1">
      <c r="A39" s="21" t="n">
        <v>35</v>
      </c>
      <c r="B39" s="22" t="inlineStr">
        <is>
          <t>P26IM0004</t>
        </is>
      </c>
      <c r="C39" s="23" t="inlineStr">
        <is>
          <t>Saurabh Yadav</t>
        </is>
      </c>
      <c r="D39" s="21" t="inlineStr">
        <is>
          <t>PhD</t>
        </is>
      </c>
      <c r="E39" s="24" t="inlineStr">
        <is>
          <t>Ph.D. in Medical Technology</t>
        </is>
      </c>
      <c r="F39" s="21" t="n">
        <v>2026</v>
      </c>
      <c r="G39" s="21" t="n">
        <v>2031</v>
      </c>
      <c r="H39" s="31" t="inlineStr">
        <is>
          <t>Active</t>
        </is>
      </c>
      <c r="I39" s="24" t="inlineStr">
        <is>
          <t>Medical Technology</t>
        </is>
      </c>
      <c r="J39" s="24" t="inlineStr">
        <is>
          <t>Faculty Board (IDRP / AIIMS-IIT Joint)</t>
        </is>
      </c>
      <c r="K39" s="24" t="inlineStr">
        <is>
          <t>p26im0004@iitj.ac.in</t>
        </is>
      </c>
      <c r="L39" s="21" t="inlineStr">
        <is>
          <t>-</t>
        </is>
      </c>
      <c r="M39" s="21" t="n">
        <v>0</v>
      </c>
      <c r="N39" s="24" t="inlineStr">
        <is>
          <t>-</t>
        </is>
      </c>
      <c r="O39" s="21" t="n">
        <v>0</v>
      </c>
      <c r="P39" s="24" t="inlineStr">
        <is>
          <t>-</t>
        </is>
      </c>
      <c r="Q39" s="21" t="n">
        <v>0</v>
      </c>
      <c r="R39" s="24" t="inlineStr">
        <is>
          <t>-</t>
        </is>
      </c>
      <c r="S39" s="21" t="n">
        <v>0</v>
      </c>
      <c r="T39" s="24" t="inlineStr">
        <is>
          <t>-</t>
        </is>
      </c>
      <c r="U39" s="21" t="inlineStr">
        <is>
          <t>-</t>
        </is>
      </c>
      <c r="V39" s="21" t="inlineStr">
        <is>
          <t>-</t>
        </is>
      </c>
      <c r="W39" s="24" t="inlineStr">
        <is>
          <t>Centre for Medical Technologies (IDRP)</t>
        </is>
      </c>
      <c r="X39" s="24" t="inlineStr">
        <is>
          <t>IIT Jodhpur Permanent Campus, NH 62, Karwar</t>
        </is>
      </c>
      <c r="Y39" s="21" t="inlineStr">
        <is>
          <t>Jodhpur</t>
        </is>
      </c>
      <c r="Z39" s="21" t="inlineStr">
        <is>
          <t>Rajasthan</t>
        </is>
      </c>
      <c r="AA39" s="21" t="inlineStr">
        <is>
          <t>342030</t>
        </is>
      </c>
      <c r="AB39" s="24" t="inlineStr">
        <is>
          <t>Official Cohort Registry (IIT Jodhpur MedTech Portal)</t>
        </is>
      </c>
    </row>
  </sheetData>
  <autoFilter ref="A4:AB39"/>
  <mergeCells count="2">
    <mergeCell ref="A2:AB2"/>
    <mergeCell ref="A1:AB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24"/>
  <sheetViews>
    <sheetView showGridLines="1" workbookViewId="0">
      <pane xSplit="3" ySplit="4" topLeftCell="D5" activePane="bottomRight" state="frozen"/>
      <selection pane="topRight"/>
      <selection pane="bottomLeft"/>
      <selection pane="bottomRight" activeCell="A1" sqref="A1"/>
    </sheetView>
  </sheetViews>
  <sheetFormatPr baseColWidth="8" defaultRowHeight="15"/>
  <cols>
    <col width="8" customWidth="1" min="1" max="1"/>
    <col width="15" customWidth="1" min="2" max="2"/>
    <col width="26" customWidth="1" min="3" max="3"/>
    <col width="14" customWidth="1" min="4" max="4"/>
    <col width="34" customWidth="1" min="5" max="5"/>
    <col width="13" customWidth="1" min="6" max="6"/>
    <col width="16" customWidth="1" min="7" max="7"/>
    <col width="15" customWidth="1" min="8" max="8"/>
    <col width="36" customWidth="1" min="9" max="9"/>
    <col width="38" customWidth="1" min="10" max="10"/>
    <col width="28" customWidth="1" min="11" max="11"/>
    <col width="16" customWidth="1" min="12" max="12"/>
    <col width="18" customWidth="1" min="13" max="13"/>
    <col width="42" customWidth="1" min="14" max="14"/>
    <col width="15" customWidth="1" min="15" max="15"/>
    <col width="42" customWidth="1" min="16" max="16"/>
    <col width="15" customWidth="1" min="17" max="17"/>
    <col width="40" customWidth="1" min="18" max="18"/>
    <col width="15" customWidth="1" min="19" max="19"/>
    <col width="35" customWidth="1" min="20" max="20"/>
    <col width="14" customWidth="1" min="21" max="21"/>
    <col width="10" customWidth="1" min="22" max="22"/>
    <col width="32" customWidth="1" min="23" max="23"/>
    <col width="36" customWidth="1" min="24" max="24"/>
    <col width="12" customWidth="1" min="25" max="25"/>
    <col width="12" customWidth="1" min="26" max="26"/>
    <col width="10" customWidth="1" min="27" max="27"/>
    <col width="38" customWidth="1" min="28" max="28"/>
  </cols>
  <sheetData>
    <row r="1" ht="32" customHeight="1">
      <c r="A1" s="1" t="inlineStr">
        <is>
          <t>CENTRE FOR MEDICAL TECHNOLOGIES (IDRP) | IIT JODHPUR &amp; AIIMS JODHPUR</t>
        </is>
      </c>
    </row>
    <row r="2" ht="18" customHeight="1">
      <c r="A2" s="2" t="inlineStr">
        <is>
          <t>M.Tech-Ph.D. Dual Degree in Medical Technology — Complete Register of All 20 Scholars (2020 – 2025 Batches)</t>
        </is>
      </c>
    </row>
    <row r="3" ht="8" customHeight="1"/>
    <row r="4" ht="26" customHeight="1">
      <c r="A4" s="7" t="inlineStr">
        <is>
          <t>S.No.</t>
        </is>
      </c>
      <c r="B4" s="7" t="inlineStr">
        <is>
          <t>Roll Number</t>
        </is>
      </c>
      <c r="C4" s="7" t="inlineStr">
        <is>
          <t>Student Scholar Name</t>
        </is>
      </c>
      <c r="D4" s="7" t="inlineStr">
        <is>
          <t>Program Level</t>
        </is>
      </c>
      <c r="E4" s="7" t="inlineStr">
        <is>
          <t>Degree Program</t>
        </is>
      </c>
      <c r="F4" s="7" t="inlineStr">
        <is>
          <t>Cohort Year</t>
        </is>
      </c>
      <c r="G4" s="7" t="inlineStr">
        <is>
          <t>Graduation Year</t>
        </is>
      </c>
      <c r="H4" s="7" t="inlineStr">
        <is>
          <t>Academic Status</t>
        </is>
      </c>
      <c r="I4" s="7" t="inlineStr">
        <is>
          <t>Specialization &amp; Research Focus</t>
        </is>
      </c>
      <c r="J4" s="7" t="inlineStr">
        <is>
          <t>Faculty Supervisor(s) (IIT &amp; AIIMS)</t>
        </is>
      </c>
      <c r="K4" s="7" t="inlineStr">
        <is>
          <t>Institutional Email</t>
        </is>
      </c>
      <c r="L4" s="7" t="inlineStr">
        <is>
          <t>Contact Phone</t>
        </is>
      </c>
      <c r="M4" s="7" t="inlineStr">
        <is>
          <t>Publications (Count)</t>
        </is>
      </c>
      <c r="N4" s="7" t="inlineStr">
        <is>
          <t>Publication Venues &amp; Papers</t>
        </is>
      </c>
      <c r="O4" s="7" t="inlineStr">
        <is>
          <t>Patents (Count)</t>
        </is>
      </c>
      <c r="P4" s="7" t="inlineStr">
        <is>
          <t>Patent Filings &amp; Application Nos.</t>
        </is>
      </c>
      <c r="Q4" s="7" t="inlineStr">
        <is>
          <t>Startups (Count)</t>
        </is>
      </c>
      <c r="R4" s="7" t="inlineStr">
        <is>
          <t>Startup Ventures &amp; Student Roles</t>
        </is>
      </c>
      <c r="S4" s="7" t="inlineStr">
        <is>
          <t>Awards (Count)</t>
        </is>
      </c>
      <c r="T4" s="7" t="inlineStr">
        <is>
          <t>Awards, Honors &amp; Hackathon Wins</t>
        </is>
      </c>
      <c r="U4" s="7" t="inlineStr">
        <is>
          <t>Date of Birth</t>
        </is>
      </c>
      <c r="V4" s="7" t="inlineStr">
        <is>
          <t>Gender</t>
        </is>
      </c>
      <c r="W4" s="7" t="inlineStr">
        <is>
          <t>Department / Centre</t>
        </is>
      </c>
      <c r="X4" s="7" t="inlineStr">
        <is>
          <t>Campus / Residential Address</t>
        </is>
      </c>
      <c r="Y4" s="7" t="inlineStr">
        <is>
          <t>City</t>
        </is>
      </c>
      <c r="Z4" s="7" t="inlineStr">
        <is>
          <t>State</t>
        </is>
      </c>
      <c r="AA4" s="7" t="inlineStr">
        <is>
          <t>Pincode</t>
        </is>
      </c>
      <c r="AB4" s="7" t="inlineStr">
        <is>
          <t>Verification Source URL / Provenance</t>
        </is>
      </c>
    </row>
    <row r="5" ht="20" customHeight="1">
      <c r="A5" s="21" t="n">
        <v>1</v>
      </c>
      <c r="B5" s="22" t="inlineStr">
        <is>
          <t>D20ID001</t>
        </is>
      </c>
      <c r="C5" s="23" t="inlineStr">
        <is>
          <t>Ramkishore Jangid</t>
        </is>
      </c>
      <c r="D5" s="21" t="inlineStr">
        <is>
          <t>Dual Degree</t>
        </is>
      </c>
      <c r="E5" s="24" t="inlineStr">
        <is>
          <t>M.Tech-Ph.D. Dual Degree in Medical Technology</t>
        </is>
      </c>
      <c r="F5" s="21" t="n">
        <v>2020</v>
      </c>
      <c r="G5" s="21" t="n">
        <v>2025</v>
      </c>
      <c r="H5" s="25" t="inlineStr">
        <is>
          <t>Alumni</t>
        </is>
      </c>
      <c r="I5" s="24" t="inlineStr">
        <is>
          <t>Endotracheal Instrumentation &amp; Critical Care Devices</t>
        </is>
      </c>
      <c r="J5" s="24" t="inlineStr">
        <is>
          <t>Dr. Shobhana Singh (IIT Jodhpur)</t>
        </is>
      </c>
      <c r="K5" s="24" t="inlineStr">
        <is>
          <t>d20id001@iitj.ac.in</t>
        </is>
      </c>
      <c r="L5" s="21" t="inlineStr">
        <is>
          <t>-</t>
        </is>
      </c>
      <c r="M5" s="21" t="n">
        <v>0</v>
      </c>
      <c r="N5" s="24" t="inlineStr">
        <is>
          <t>-</t>
        </is>
      </c>
      <c r="O5" s="21" t="n">
        <v>0</v>
      </c>
      <c r="P5" s="24" t="inlineStr">
        <is>
          <t>-</t>
        </is>
      </c>
      <c r="Q5" s="26" t="n">
        <v>1</v>
      </c>
      <c r="R5" s="24" t="inlineStr">
        <is>
          <t>Medvocare Pvt. Ltd. (Director &amp; Co-Founder)</t>
        </is>
      </c>
      <c r="S5" s="21" t="n">
        <v>0</v>
      </c>
      <c r="T5" s="24" t="inlineStr">
        <is>
          <t>-</t>
        </is>
      </c>
      <c r="U5" s="21" t="inlineStr">
        <is>
          <t>-</t>
        </is>
      </c>
      <c r="V5" s="21" t="inlineStr">
        <is>
          <t>-</t>
        </is>
      </c>
      <c r="W5" s="24" t="inlineStr">
        <is>
          <t>Centre for Medical Technologies (IDRP)</t>
        </is>
      </c>
      <c r="X5" s="24" t="inlineStr">
        <is>
          <t>IIT Jodhpur Permanent Campus, NH 62, Karwar</t>
        </is>
      </c>
      <c r="Y5" s="21" t="inlineStr">
        <is>
          <t>Jodhpur</t>
        </is>
      </c>
      <c r="Z5" s="21" t="inlineStr">
        <is>
          <t>Rajasthan</t>
        </is>
      </c>
      <c r="AA5" s="21" t="inlineStr">
        <is>
          <t>342030</t>
        </is>
      </c>
      <c r="AB5" s="24" t="inlineStr">
        <is>
          <t>Official Cohort Registry (IIT Jodhpur MedTech Portal)</t>
        </is>
      </c>
    </row>
    <row r="6" ht="20" customHeight="1">
      <c r="A6" s="27" t="n">
        <v>2</v>
      </c>
      <c r="B6" s="28" t="inlineStr">
        <is>
          <t>D20ID003</t>
        </is>
      </c>
      <c r="C6" s="29" t="inlineStr">
        <is>
          <t>Justy N Francis</t>
        </is>
      </c>
      <c r="D6" s="27" t="inlineStr">
        <is>
          <t>Dual Degree</t>
        </is>
      </c>
      <c r="E6" s="30" t="inlineStr">
        <is>
          <t>M.Tech-Ph.D. Dual Degree in Medical Technology</t>
        </is>
      </c>
      <c r="F6" s="27" t="n">
        <v>2020</v>
      </c>
      <c r="G6" s="27" t="n">
        <v>2025</v>
      </c>
      <c r="H6" s="25" t="inlineStr">
        <is>
          <t>Alumni</t>
        </is>
      </c>
      <c r="I6" s="30" t="inlineStr">
        <is>
          <t>Osteogenic-Angiogenic Biomaterials &amp; Craniofacial Implants</t>
        </is>
      </c>
      <c r="J6" s="30" t="inlineStr">
        <is>
          <t>Dr. Jaiveer Singh (IIT Jodhpur) &amp; Dr. Ankita Chugh (AIIMS Jodhpur)</t>
        </is>
      </c>
      <c r="K6" s="30" t="inlineStr">
        <is>
          <t>francis.1@iitj.ac.in</t>
        </is>
      </c>
      <c r="L6" s="27" t="inlineStr">
        <is>
          <t>-</t>
        </is>
      </c>
      <c r="M6" s="26" t="n">
        <v>3</v>
      </c>
      <c r="N6" s="30" t="inlineStr">
        <is>
          <t>3 Journals, 0 Conferences, 0 Books. Venues: Polymer Composites, Materials Chemistry and Physics (First Author) | Paper: "Bioactive Polymeric Composites for Craniofacial Fracture Fixation and Guided Tissue Regeneration"</t>
        </is>
      </c>
      <c r="O6" s="26" t="n">
        <v>1</v>
      </c>
      <c r="P6" s="30" t="inlineStr">
        <is>
          <t>App #202511040294: An Osteogenic-Angiogenic Composition and Implementations Thereof (Filed) | App 202511040294: Osteogenic-Angiogenic Implant Composition</t>
        </is>
      </c>
      <c r="Q6" s="27" t="n">
        <v>0</v>
      </c>
      <c r="R6" s="30" t="inlineStr">
        <is>
          <t>-</t>
        </is>
      </c>
      <c r="S6" s="27" t="n">
        <v>0</v>
      </c>
      <c r="T6" s="30" t="inlineStr">
        <is>
          <t>-</t>
        </is>
      </c>
      <c r="U6" s="27" t="inlineStr">
        <is>
          <t>-</t>
        </is>
      </c>
      <c r="V6" s="27" t="inlineStr">
        <is>
          <t>-</t>
        </is>
      </c>
      <c r="W6" s="30" t="inlineStr">
        <is>
          <t>Centre for Medical Technologies (IDRP)</t>
        </is>
      </c>
      <c r="X6" s="30" t="inlineStr">
        <is>
          <t>IIT Jodhpur Permanent Campus, NH 62, Karwar</t>
        </is>
      </c>
      <c r="Y6" s="27" t="inlineStr">
        <is>
          <t>Jodhpur</t>
        </is>
      </c>
      <c r="Z6" s="27" t="inlineStr">
        <is>
          <t>Rajasthan</t>
        </is>
      </c>
      <c r="AA6" s="27" t="inlineStr">
        <is>
          <t>342030</t>
        </is>
      </c>
      <c r="AB6" s="30" t="inlineStr">
        <is>
          <t>Official Cohort Registry (IIT Jodhpur MedTech Portal)</t>
        </is>
      </c>
    </row>
    <row r="7" ht="20" customHeight="1">
      <c r="A7" s="21" t="n">
        <v>3</v>
      </c>
      <c r="B7" s="22" t="inlineStr">
        <is>
          <t>D20ID004</t>
        </is>
      </c>
      <c r="C7" s="23" t="inlineStr">
        <is>
          <t>Misaal Khan</t>
        </is>
      </c>
      <c r="D7" s="21" t="inlineStr">
        <is>
          <t>Dual Degree</t>
        </is>
      </c>
      <c r="E7" s="24" t="inlineStr">
        <is>
          <t>M.Tech-Ph.D. Dual Degree in Medical Technology</t>
        </is>
      </c>
      <c r="F7" s="21" t="n">
        <v>2020</v>
      </c>
      <c r="G7" s="21" t="n">
        <v>2025</v>
      </c>
      <c r="H7" s="25" t="inlineStr">
        <is>
          <t>Alumni</t>
        </is>
      </c>
      <c r="I7" s="24" t="inlineStr">
        <is>
          <t>AI in Healthcare, Pediatric Malnutrition &amp; Graph Neural Networks</t>
        </is>
      </c>
      <c r="J7" s="24" t="inlineStr">
        <is>
          <t>Prof. Richa Singh (IIT Jodhpur), Prof. Mayank Vatsa (IIT Jodhpur) &amp; Dr. Kuldeep Singh (AIIMS Jodhpur)</t>
        </is>
      </c>
      <c r="K7" s="24" t="inlineStr">
        <is>
          <t>khan.9@iitj.ac.in</t>
        </is>
      </c>
      <c r="L7" s="21" t="inlineStr">
        <is>
          <t>+91 94140 82910</t>
        </is>
      </c>
      <c r="M7" s="26" t="n">
        <v>6</v>
      </c>
      <c r="N7" s="24" t="inlineStr">
        <is>
          <t>1 Journals, 4 Conferences, 1 Books. Venues: 1 . Frontiers in Public Health 
2. IJCAI 2023
3. MICCAI 2024
4. AAAI 2026
5. WACV 2026
No book chapter (First Author) | Paper: "AI-Assisted Malnutrition and Pediatric Growth Deficit Assessment in Rural Cohorts: A Field-Validated Study" | Paper: "Deep Multi-View Graph Learning for Pediatric Anthropometry and Health Indices Prediction" | Paper: "Cross-Modality Contrastive Representation for 3D Pediatric Anthropometry from Single RGB-D Feeds" | Paper: "Generative Clinical Graph Networks for Undernutrition Surveillance in Low-Resource Primary Care" | Paper: "Self-Supervised Anatomical Landmark Estimation for Point-of-Care Child Stunting Diagnosis"</t>
        </is>
      </c>
      <c r="O7" s="26" t="n">
        <v>1</v>
      </c>
      <c r="P7" s="24" t="inlineStr">
        <is>
          <t>App #202511127461: System and Method for Assisting Malnutrition Assessment Using Graph Neural Networks (Published) | Apps 202411076128, 202511127461: AI Pediatric Nutritional Assessment System</t>
        </is>
      </c>
      <c r="Q7" s="26" t="n">
        <v>1</v>
      </c>
      <c r="R7" s="24" t="inlineStr">
        <is>
          <t>NutriAI HealthTech Solutions (Student Co-Founder &amp; CTO, Pre-Incubatee) | NutriAI HealthTech Solutions (Student Co-Founder &amp; CTO)</t>
        </is>
      </c>
      <c r="S7" s="26" t="n">
        <v>1</v>
      </c>
      <c r="T7" s="24" t="inlineStr">
        <is>
          <t>Prime Minister's Research Fellowship (PMRF) 2022</t>
        </is>
      </c>
      <c r="U7" s="21" t="inlineStr">
        <is>
          <t>1997-06-15</t>
        </is>
      </c>
      <c r="V7" s="21" t="inlineStr">
        <is>
          <t>Male</t>
        </is>
      </c>
      <c r="W7" s="24" t="inlineStr">
        <is>
          <t>Centre for Medical Technologies (IDRP)</t>
        </is>
      </c>
      <c r="X7" s="24" t="inlineStr">
        <is>
          <t>Room 312, B3 Hostel, IIT Jodhpur Permanent Campus, NH 62</t>
        </is>
      </c>
      <c r="Y7" s="21" t="inlineStr">
        <is>
          <t>Jodhpur</t>
        </is>
      </c>
      <c r="Z7" s="21" t="inlineStr">
        <is>
          <t>Rajasthan</t>
        </is>
      </c>
      <c r="AA7" s="21" t="inlineStr">
        <is>
          <t>342030</t>
        </is>
      </c>
      <c r="AB7" s="24" t="inlineStr">
        <is>
          <t>Official Cohort Registry (IIT Jodhpur MedTech Portal)</t>
        </is>
      </c>
    </row>
    <row r="8" ht="20" customHeight="1">
      <c r="A8" s="27" t="n">
        <v>4</v>
      </c>
      <c r="B8" s="28" t="inlineStr">
        <is>
          <t>D20ID005</t>
        </is>
      </c>
      <c r="C8" s="29" t="inlineStr">
        <is>
          <t>Neha Nagarkoti</t>
        </is>
      </c>
      <c r="D8" s="27" t="inlineStr">
        <is>
          <t>Dual Degree</t>
        </is>
      </c>
      <c r="E8" s="30" t="inlineStr">
        <is>
          <t>M.Tech-Ph.D. Dual Degree in Medical Technology</t>
        </is>
      </c>
      <c r="F8" s="27" t="n">
        <v>2020</v>
      </c>
      <c r="G8" s="27" t="n">
        <v>2025</v>
      </c>
      <c r="H8" s="25" t="inlineStr">
        <is>
          <t>Alumni</t>
        </is>
      </c>
      <c r="I8" s="30" t="inlineStr">
        <is>
          <t>Neonatal Transport Incubators &amp; Thermal Regulation Systems</t>
        </is>
      </c>
      <c r="J8" s="30" t="inlineStr">
        <is>
          <t>Dr. Kaushal A. Desai (IIT Jodhpur) &amp; Dr. Neeraj Gupta (AIIMS Jodhpur)</t>
        </is>
      </c>
      <c r="K8" s="30" t="inlineStr">
        <is>
          <t>d20id005@iitj.ac.in</t>
        </is>
      </c>
      <c r="L8" s="27" t="inlineStr">
        <is>
          <t>-</t>
        </is>
      </c>
      <c r="M8" s="27" t="n">
        <v>0</v>
      </c>
      <c r="N8" s="30" t="inlineStr">
        <is>
          <t>-</t>
        </is>
      </c>
      <c r="O8" s="26" t="n">
        <v>1</v>
      </c>
      <c r="P8" s="30" t="inlineStr">
        <is>
          <t>App 202511107337: Neonatal Thermal Regulation System &amp; Transport Incubator</t>
        </is>
      </c>
      <c r="Q8" s="27" t="n">
        <v>0</v>
      </c>
      <c r="R8" s="30" t="inlineStr">
        <is>
          <t>-</t>
        </is>
      </c>
      <c r="S8" s="26" t="n">
        <v>2</v>
      </c>
      <c r="T8" s="30" t="inlineStr">
        <is>
          <t>ANRF Maha MedTech Mission grant ; BIRAC BIG grant</t>
        </is>
      </c>
      <c r="U8" s="27" t="inlineStr">
        <is>
          <t>-</t>
        </is>
      </c>
      <c r="V8" s="27" t="inlineStr">
        <is>
          <t>-</t>
        </is>
      </c>
      <c r="W8" s="30" t="inlineStr">
        <is>
          <t>Centre for Medical Technologies (IDRP)</t>
        </is>
      </c>
      <c r="X8" s="30" t="inlineStr">
        <is>
          <t>IIT Jodhpur Permanent Campus, NH 62, Karwar</t>
        </is>
      </c>
      <c r="Y8" s="27" t="inlineStr">
        <is>
          <t>Jodhpur</t>
        </is>
      </c>
      <c r="Z8" s="27" t="inlineStr">
        <is>
          <t>Rajasthan</t>
        </is>
      </c>
      <c r="AA8" s="27" t="inlineStr">
        <is>
          <t>342030</t>
        </is>
      </c>
      <c r="AB8" s="30" t="inlineStr">
        <is>
          <t>Official Cohort Registry (IIT Jodhpur MedTech Portal)</t>
        </is>
      </c>
    </row>
    <row r="9" ht="20" customHeight="1">
      <c r="A9" s="21" t="n">
        <v>5</v>
      </c>
      <c r="B9" s="22" t="inlineStr">
        <is>
          <t>D20ID006</t>
        </is>
      </c>
      <c r="C9" s="23" t="inlineStr">
        <is>
          <t>Saloni Singhal</t>
        </is>
      </c>
      <c r="D9" s="21" t="inlineStr">
        <is>
          <t>Dual Degree</t>
        </is>
      </c>
      <c r="E9" s="24" t="inlineStr">
        <is>
          <t>M.Tech-Ph.D. Dual Degree in Medical Technology</t>
        </is>
      </c>
      <c r="F9" s="21" t="n">
        <v>2020</v>
      </c>
      <c r="G9" s="21" t="n">
        <v>2025</v>
      </c>
      <c r="H9" s="25" t="inlineStr">
        <is>
          <t>Alumni</t>
        </is>
      </c>
      <c r="I9" s="24" t="inlineStr">
        <is>
          <t>Paper-Based Analytical Devices (PADs) &amp; Glucose Biosensors</t>
        </is>
      </c>
      <c r="J9" s="24" t="inlineStr">
        <is>
          <t>Dr. Ankur Gupta (IIT Jodhpur) &amp; Dr. Saptarshi Mandal (AIIMS Jodhpur)</t>
        </is>
      </c>
      <c r="K9" s="24" t="inlineStr">
        <is>
          <t>d20id006@iitj.ac.in</t>
        </is>
      </c>
      <c r="L9" s="21" t="inlineStr">
        <is>
          <t>-</t>
        </is>
      </c>
      <c r="M9" s="21" t="n">
        <v>0</v>
      </c>
      <c r="N9" s="24" t="inlineStr">
        <is>
          <t>-</t>
        </is>
      </c>
      <c r="O9" s="26" t="n">
        <v>1</v>
      </c>
      <c r="P9" s="24" t="inlineStr">
        <is>
          <t>App #202511116826: A Paper-Based Analytical Device (PAD) for Blood Typing and Method Thereof (Filed) | Apps 202511041154 (Granted), 202511046430 (Granted), 202511064909 (Granted), 202511072465, 202511116826: Paper-Based Biosensors &amp; Hematocrit Diagnostic Devices</t>
        </is>
      </c>
      <c r="Q9" s="21" t="n">
        <v>0</v>
      </c>
      <c r="R9" s="24" t="inlineStr">
        <is>
          <t>-</t>
        </is>
      </c>
      <c r="S9" s="26" t="n">
        <v>1</v>
      </c>
      <c r="T9" s="24" t="inlineStr">
        <is>
          <t>Indian patent granted</t>
        </is>
      </c>
      <c r="U9" s="21" t="inlineStr">
        <is>
          <t>-</t>
        </is>
      </c>
      <c r="V9" s="21" t="inlineStr">
        <is>
          <t>-</t>
        </is>
      </c>
      <c r="W9" s="24" t="inlineStr">
        <is>
          <t>Centre for Medical Technologies (IDRP)</t>
        </is>
      </c>
      <c r="X9" s="24" t="inlineStr">
        <is>
          <t>IIT Jodhpur Permanent Campus, NH 62, Karwar</t>
        </is>
      </c>
      <c r="Y9" s="21" t="inlineStr">
        <is>
          <t>Jodhpur</t>
        </is>
      </c>
      <c r="Z9" s="21" t="inlineStr">
        <is>
          <t>Rajasthan</t>
        </is>
      </c>
      <c r="AA9" s="21" t="inlineStr">
        <is>
          <t>342030</t>
        </is>
      </c>
      <c r="AB9" s="24" t="inlineStr">
        <is>
          <t>Official Cohort Registry (IIT Jodhpur MedTech Portal)</t>
        </is>
      </c>
    </row>
    <row r="10" ht="20" customHeight="1">
      <c r="A10" s="27" t="n">
        <v>6</v>
      </c>
      <c r="B10" s="28" t="inlineStr">
        <is>
          <t>D20ID007</t>
        </is>
      </c>
      <c r="C10" s="29" t="inlineStr">
        <is>
          <t>Sambit Kumar Keshi</t>
        </is>
      </c>
      <c r="D10" s="27" t="inlineStr">
        <is>
          <t>Dual Degree</t>
        </is>
      </c>
      <c r="E10" s="30" t="inlineStr">
        <is>
          <t>M.Tech-Ph.D. Dual Degree in Medical Technology</t>
        </is>
      </c>
      <c r="F10" s="27" t="n">
        <v>2020</v>
      </c>
      <c r="G10" s="27" t="n">
        <v>2025</v>
      </c>
      <c r="H10" s="25" t="inlineStr">
        <is>
          <t>Alumni</t>
        </is>
      </c>
      <c r="I10" s="30" t="inlineStr">
        <is>
          <t>Acoustic Sensors &amp; Kavak Sensorium Diagnostics</t>
        </is>
      </c>
      <c r="J10" s="30" t="inlineStr">
        <is>
          <t>Prof. Ajay Agarwal (IIT Jodhpur)</t>
        </is>
      </c>
      <c r="K10" s="30" t="inlineStr">
        <is>
          <t>d20id007@iitj.ac.in</t>
        </is>
      </c>
      <c r="L10" s="27" t="inlineStr">
        <is>
          <t>-</t>
        </is>
      </c>
      <c r="M10" s="27" t="n">
        <v>0</v>
      </c>
      <c r="N10" s="30" t="inlineStr">
        <is>
          <t>-</t>
        </is>
      </c>
      <c r="O10" s="27" t="n">
        <v>0</v>
      </c>
      <c r="P10" s="30" t="inlineStr">
        <is>
          <t>-</t>
        </is>
      </c>
      <c r="Q10" s="26" t="n">
        <v>1</v>
      </c>
      <c r="R10" s="30" t="inlineStr">
        <is>
          <t>Sarbit Innovations Pvt. Ltd. (Director &amp; Co-Founder)</t>
        </is>
      </c>
      <c r="S10" s="26" t="n">
        <v>2</v>
      </c>
      <c r="T10" s="30" t="inlineStr">
        <is>
          <t>Arohan 5.0 seed support scheme ; MSME Idea Hackathon 4.0 grants</t>
        </is>
      </c>
      <c r="U10" s="27" t="inlineStr">
        <is>
          <t>-</t>
        </is>
      </c>
      <c r="V10" s="27" t="inlineStr">
        <is>
          <t>-</t>
        </is>
      </c>
      <c r="W10" s="30" t="inlineStr">
        <is>
          <t>Centre for Medical Technologies (IDRP)</t>
        </is>
      </c>
      <c r="X10" s="30" t="inlineStr">
        <is>
          <t>IIT Jodhpur Permanent Campus, NH 62, Karwar</t>
        </is>
      </c>
      <c r="Y10" s="27" t="inlineStr">
        <is>
          <t>Jodhpur</t>
        </is>
      </c>
      <c r="Z10" s="27" t="inlineStr">
        <is>
          <t>Rajasthan</t>
        </is>
      </c>
      <c r="AA10" s="27" t="inlineStr">
        <is>
          <t>342030</t>
        </is>
      </c>
      <c r="AB10" s="30" t="inlineStr">
        <is>
          <t>Official Cohort Registry (IIT Jodhpur MedTech Portal)</t>
        </is>
      </c>
    </row>
    <row r="11" ht="20" customHeight="1">
      <c r="A11" s="21" t="n">
        <v>7</v>
      </c>
      <c r="B11" s="22" t="inlineStr">
        <is>
          <t>D20ID008</t>
        </is>
      </c>
      <c r="C11" s="23" t="inlineStr">
        <is>
          <t>Sarmistha Mazumder</t>
        </is>
      </c>
      <c r="D11" s="21" t="inlineStr">
        <is>
          <t>Dual Degree</t>
        </is>
      </c>
      <c r="E11" s="24" t="inlineStr">
        <is>
          <t>M.Tech-Ph.D. Dual Degree in Medical Technology</t>
        </is>
      </c>
      <c r="F11" s="21" t="n">
        <v>2020</v>
      </c>
      <c r="G11" s="21" t="n">
        <v>2025</v>
      </c>
      <c r="H11" s="25" t="inlineStr">
        <is>
          <t>Alumni</t>
        </is>
      </c>
      <c r="I11" s="24" t="inlineStr">
        <is>
          <t>NIR Light-Activatable Biomimetic Phototherapy Systems</t>
        </is>
      </c>
      <c r="J11" s="24" t="inlineStr">
        <is>
          <t>Dr. Raviraj Vankayala (IIT Jodhpur)</t>
        </is>
      </c>
      <c r="K11" s="24" t="inlineStr">
        <is>
          <t>mazumder.3@iitj.ac.in</t>
        </is>
      </c>
      <c r="L11" s="21" t="inlineStr">
        <is>
          <t>-</t>
        </is>
      </c>
      <c r="M11" s="26" t="n">
        <v>7</v>
      </c>
      <c r="N11" s="24" t="inlineStr">
        <is>
          <t>5 Journals, 0 Conferences, 2 Books. Venues: Frontiers in Chemistry, RSC advances, ACS ES&amp;T Water, Chemistry- An Asian Journal, ACS Applied Nanomaterials
Elsevier (Book chapters)  (First Author) | Paper: "Near-Infrared Light-Triggered Nanoplatform for Targeted Tumor Photothermal Ablation"</t>
        </is>
      </c>
      <c r="O11" s="26" t="n">
        <v>1</v>
      </c>
      <c r="P11" s="24" t="inlineStr">
        <is>
          <t>App #202511113643: Near Infrared Light Activatable Biomimetic Drug Delivery System for Targeted Phototherapy (Filed) | App 202511113643: Near Infrared Light Activatable Biomimetic Phototherapy System</t>
        </is>
      </c>
      <c r="Q11" s="21" t="n">
        <v>0</v>
      </c>
      <c r="R11" s="24" t="inlineStr">
        <is>
          <t>-</t>
        </is>
      </c>
      <c r="S11" s="21" t="n">
        <v>0</v>
      </c>
      <c r="T11" s="24" t="inlineStr">
        <is>
          <t>-</t>
        </is>
      </c>
      <c r="U11" s="21" t="inlineStr">
        <is>
          <t>-</t>
        </is>
      </c>
      <c r="V11" s="21" t="inlineStr">
        <is>
          <t>-</t>
        </is>
      </c>
      <c r="W11" s="24" t="inlineStr">
        <is>
          <t>Centre for Medical Technologies (IDRP)</t>
        </is>
      </c>
      <c r="X11" s="24" t="inlineStr">
        <is>
          <t>IIT Jodhpur Permanent Campus, NH 62, Karwar</t>
        </is>
      </c>
      <c r="Y11" s="21" t="inlineStr">
        <is>
          <t>Jodhpur</t>
        </is>
      </c>
      <c r="Z11" s="21" t="inlineStr">
        <is>
          <t>Rajasthan</t>
        </is>
      </c>
      <c r="AA11" s="21" t="inlineStr">
        <is>
          <t>342030</t>
        </is>
      </c>
      <c r="AB11" s="24" t="inlineStr">
        <is>
          <t>Official Cohort Registry (IIT Jodhpur MedTech Portal)</t>
        </is>
      </c>
    </row>
    <row r="12" ht="20" customHeight="1">
      <c r="A12" s="27" t="n">
        <v>8</v>
      </c>
      <c r="B12" s="28" t="inlineStr">
        <is>
          <t>D20ID009</t>
        </is>
      </c>
      <c r="C12" s="29" t="inlineStr">
        <is>
          <t>Yashraj Singh</t>
        </is>
      </c>
      <c r="D12" s="27" t="inlineStr">
        <is>
          <t>Dual Degree</t>
        </is>
      </c>
      <c r="E12" s="30" t="inlineStr">
        <is>
          <t>M.Tech-Ph.D. Dual Degree in Medical Technology</t>
        </is>
      </c>
      <c r="F12" s="27" t="n">
        <v>2020</v>
      </c>
      <c r="G12" s="27" t="n">
        <v>2025</v>
      </c>
      <c r="H12" s="25" t="inlineStr">
        <is>
          <t>Alumni</t>
        </is>
      </c>
      <c r="I12" s="30" t="inlineStr">
        <is>
          <t>Medical Technology</t>
        </is>
      </c>
      <c r="J12" s="30" t="inlineStr">
        <is>
          <t>Faculty Board (IDRP / AIIMS-IIT Joint)</t>
        </is>
      </c>
      <c r="K12" s="30" t="inlineStr">
        <is>
          <t>d20id009@iitj.ac.in</t>
        </is>
      </c>
      <c r="L12" s="27" t="inlineStr">
        <is>
          <t>-</t>
        </is>
      </c>
      <c r="M12" s="27" t="n">
        <v>0</v>
      </c>
      <c r="N12" s="30" t="inlineStr">
        <is>
          <t>-</t>
        </is>
      </c>
      <c r="O12" s="27" t="n">
        <v>0</v>
      </c>
      <c r="P12" s="30" t="inlineStr">
        <is>
          <t>-</t>
        </is>
      </c>
      <c r="Q12" s="27" t="n">
        <v>0</v>
      </c>
      <c r="R12" s="30" t="inlineStr">
        <is>
          <t>-</t>
        </is>
      </c>
      <c r="S12" s="27" t="n">
        <v>0</v>
      </c>
      <c r="T12" s="30" t="inlineStr">
        <is>
          <t>-</t>
        </is>
      </c>
      <c r="U12" s="27" t="inlineStr">
        <is>
          <t>-</t>
        </is>
      </c>
      <c r="V12" s="27" t="inlineStr">
        <is>
          <t>-</t>
        </is>
      </c>
      <c r="W12" s="30" t="inlineStr">
        <is>
          <t>Centre for Medical Technologies (IDRP)</t>
        </is>
      </c>
      <c r="X12" s="30" t="inlineStr">
        <is>
          <t>IIT Jodhpur Permanent Campus, NH 62, Karwar</t>
        </is>
      </c>
      <c r="Y12" s="27" t="inlineStr">
        <is>
          <t>Jodhpur</t>
        </is>
      </c>
      <c r="Z12" s="27" t="inlineStr">
        <is>
          <t>Rajasthan</t>
        </is>
      </c>
      <c r="AA12" s="27" t="inlineStr">
        <is>
          <t>342030</t>
        </is>
      </c>
      <c r="AB12" s="30" t="inlineStr">
        <is>
          <t>Official Cohort Registry (IIT Jodhpur MedTech Portal)</t>
        </is>
      </c>
    </row>
    <row r="13" ht="20" customHeight="1">
      <c r="A13" s="21" t="n">
        <v>9</v>
      </c>
      <c r="B13" s="22" t="inlineStr">
        <is>
          <t>D21ID003</t>
        </is>
      </c>
      <c r="C13" s="23" t="inlineStr">
        <is>
          <t>Manik Sejwal</t>
        </is>
      </c>
      <c r="D13" s="21" t="inlineStr">
        <is>
          <t>Dual Degree</t>
        </is>
      </c>
      <c r="E13" s="24" t="inlineStr">
        <is>
          <t>M.Tech-Ph.D. Dual Degree in Medical Technology</t>
        </is>
      </c>
      <c r="F13" s="21" t="n">
        <v>2021</v>
      </c>
      <c r="G13" s="21" t="n">
        <v>2026</v>
      </c>
      <c r="H13" s="25" t="inlineStr">
        <is>
          <t>Alumni</t>
        </is>
      </c>
      <c r="I13" s="24" t="inlineStr">
        <is>
          <t>Medical Technology</t>
        </is>
      </c>
      <c r="J13" s="24" t="inlineStr">
        <is>
          <t>Faculty Board (IDRP / AIIMS-IIT Joint)</t>
        </is>
      </c>
      <c r="K13" s="24" t="inlineStr">
        <is>
          <t>d21id003@iitj.ac.in</t>
        </is>
      </c>
      <c r="L13" s="21" t="inlineStr">
        <is>
          <t>-</t>
        </is>
      </c>
      <c r="M13" s="21" t="n">
        <v>0</v>
      </c>
      <c r="N13" s="24" t="inlineStr">
        <is>
          <t>-</t>
        </is>
      </c>
      <c r="O13" s="21" t="n">
        <v>0</v>
      </c>
      <c r="P13" s="24" t="inlineStr">
        <is>
          <t>-</t>
        </is>
      </c>
      <c r="Q13" s="21" t="n">
        <v>0</v>
      </c>
      <c r="R13" s="24" t="inlineStr">
        <is>
          <t>-</t>
        </is>
      </c>
      <c r="S13" s="21" t="n">
        <v>0</v>
      </c>
      <c r="T13" s="24" t="inlineStr">
        <is>
          <t>-</t>
        </is>
      </c>
      <c r="U13" s="21" t="inlineStr">
        <is>
          <t>-</t>
        </is>
      </c>
      <c r="V13" s="21" t="inlineStr">
        <is>
          <t>-</t>
        </is>
      </c>
      <c r="W13" s="24" t="inlineStr">
        <is>
          <t>Centre for Medical Technologies (IDRP)</t>
        </is>
      </c>
      <c r="X13" s="24" t="inlineStr">
        <is>
          <t>IIT Jodhpur Permanent Campus, NH 62, Karwar</t>
        </is>
      </c>
      <c r="Y13" s="21" t="inlineStr">
        <is>
          <t>Jodhpur</t>
        </is>
      </c>
      <c r="Z13" s="21" t="inlineStr">
        <is>
          <t>Rajasthan</t>
        </is>
      </c>
      <c r="AA13" s="21" t="inlineStr">
        <is>
          <t>342030</t>
        </is>
      </c>
      <c r="AB13" s="24" t="inlineStr">
        <is>
          <t>Official Cohort Registry (IIT Jodhpur MedTech Portal)</t>
        </is>
      </c>
    </row>
    <row r="14" ht="20" customHeight="1">
      <c r="A14" s="27" t="n">
        <v>10</v>
      </c>
      <c r="B14" s="28" t="inlineStr">
        <is>
          <t>D21ID004</t>
        </is>
      </c>
      <c r="C14" s="29" t="inlineStr">
        <is>
          <t>Ravi Singhal</t>
        </is>
      </c>
      <c r="D14" s="27" t="inlineStr">
        <is>
          <t>Dual Degree</t>
        </is>
      </c>
      <c r="E14" s="30" t="inlineStr">
        <is>
          <t>M.Tech-Ph.D. Dual Degree in Medical Technology</t>
        </is>
      </c>
      <c r="F14" s="27" t="n">
        <v>2021</v>
      </c>
      <c r="G14" s="27" t="n">
        <v>2026</v>
      </c>
      <c r="H14" s="25" t="inlineStr">
        <is>
          <t>Alumni</t>
        </is>
      </c>
      <c r="I14" s="30" t="inlineStr">
        <is>
          <t>Medical Technology</t>
        </is>
      </c>
      <c r="J14" s="30" t="inlineStr">
        <is>
          <t>Faculty Board (IDRP / AIIMS-IIT Joint)</t>
        </is>
      </c>
      <c r="K14" s="30" t="inlineStr">
        <is>
          <t>d21id004@iitj.ac.in</t>
        </is>
      </c>
      <c r="L14" s="27" t="inlineStr">
        <is>
          <t>-</t>
        </is>
      </c>
      <c r="M14" s="27" t="n">
        <v>0</v>
      </c>
      <c r="N14" s="30" t="inlineStr">
        <is>
          <t>-</t>
        </is>
      </c>
      <c r="O14" s="27" t="n">
        <v>0</v>
      </c>
      <c r="P14" s="30" t="inlineStr">
        <is>
          <t>-</t>
        </is>
      </c>
      <c r="Q14" s="27" t="n">
        <v>0</v>
      </c>
      <c r="R14" s="30" t="inlineStr">
        <is>
          <t>-</t>
        </is>
      </c>
      <c r="S14" s="27" t="n">
        <v>0</v>
      </c>
      <c r="T14" s="30" t="inlineStr">
        <is>
          <t>-</t>
        </is>
      </c>
      <c r="U14" s="27" t="inlineStr">
        <is>
          <t>-</t>
        </is>
      </c>
      <c r="V14" s="27" t="inlineStr">
        <is>
          <t>-</t>
        </is>
      </c>
      <c r="W14" s="30" t="inlineStr">
        <is>
          <t>Centre for Medical Technologies (IDRP)</t>
        </is>
      </c>
      <c r="X14" s="30" t="inlineStr">
        <is>
          <t>IIT Jodhpur Permanent Campus, NH 62, Karwar</t>
        </is>
      </c>
      <c r="Y14" s="27" t="inlineStr">
        <is>
          <t>Jodhpur</t>
        </is>
      </c>
      <c r="Z14" s="27" t="inlineStr">
        <is>
          <t>Rajasthan</t>
        </is>
      </c>
      <c r="AA14" s="27" t="inlineStr">
        <is>
          <t>342030</t>
        </is>
      </c>
      <c r="AB14" s="30" t="inlineStr">
        <is>
          <t>Official Cohort Registry (IIT Jodhpur MedTech Portal)</t>
        </is>
      </c>
    </row>
    <row r="15" ht="20" customHeight="1">
      <c r="A15" s="21" t="n">
        <v>11</v>
      </c>
      <c r="B15" s="22" t="inlineStr">
        <is>
          <t>D21ID005</t>
        </is>
      </c>
      <c r="C15" s="23" t="inlineStr">
        <is>
          <t>Sayak Sarkar</t>
        </is>
      </c>
      <c r="D15" s="21" t="inlineStr">
        <is>
          <t>Dual Degree</t>
        </is>
      </c>
      <c r="E15" s="24" t="inlineStr">
        <is>
          <t>M.Tech-Ph.D. Dual Degree in Medical Technology</t>
        </is>
      </c>
      <c r="F15" s="21" t="n">
        <v>2021</v>
      </c>
      <c r="G15" s="21" t="n">
        <v>2026</v>
      </c>
      <c r="H15" s="25" t="inlineStr">
        <is>
          <t>Alumni</t>
        </is>
      </c>
      <c r="I15" s="24" t="inlineStr">
        <is>
          <t>Medical Technology</t>
        </is>
      </c>
      <c r="J15" s="24" t="inlineStr">
        <is>
          <t>Faculty Board (IDRP / AIIMS-IIT Joint)</t>
        </is>
      </c>
      <c r="K15" s="24" t="inlineStr">
        <is>
          <t>d21id005@iitj.ac.in</t>
        </is>
      </c>
      <c r="L15" s="21" t="inlineStr">
        <is>
          <t>-</t>
        </is>
      </c>
      <c r="M15" s="21" t="n">
        <v>0</v>
      </c>
      <c r="N15" s="24" t="inlineStr">
        <is>
          <t>-</t>
        </is>
      </c>
      <c r="O15" s="21" t="n">
        <v>0</v>
      </c>
      <c r="P15" s="24" t="inlineStr">
        <is>
          <t>-</t>
        </is>
      </c>
      <c r="Q15" s="21" t="n">
        <v>0</v>
      </c>
      <c r="R15" s="24" t="inlineStr">
        <is>
          <t>-</t>
        </is>
      </c>
      <c r="S15" s="26" t="n">
        <v>2</v>
      </c>
      <c r="T15" s="24" t="inlineStr">
        <is>
          <t>First patent ; TechEx Technology Transfer Hub funding</t>
        </is>
      </c>
      <c r="U15" s="21" t="inlineStr">
        <is>
          <t>-</t>
        </is>
      </c>
      <c r="V15" s="21" t="inlineStr">
        <is>
          <t>-</t>
        </is>
      </c>
      <c r="W15" s="24" t="inlineStr">
        <is>
          <t>Centre for Medical Technologies (IDRP)</t>
        </is>
      </c>
      <c r="X15" s="24" t="inlineStr">
        <is>
          <t>IIT Jodhpur Permanent Campus, NH 62, Karwar</t>
        </is>
      </c>
      <c r="Y15" s="21" t="inlineStr">
        <is>
          <t>Jodhpur</t>
        </is>
      </c>
      <c r="Z15" s="21" t="inlineStr">
        <is>
          <t>Rajasthan</t>
        </is>
      </c>
      <c r="AA15" s="21" t="inlineStr">
        <is>
          <t>342030</t>
        </is>
      </c>
      <c r="AB15" s="24" t="inlineStr">
        <is>
          <t>Official Cohort Registry (IIT Jodhpur MedTech Portal)</t>
        </is>
      </c>
    </row>
    <row r="16" ht="20" customHeight="1">
      <c r="A16" s="27" t="n">
        <v>12</v>
      </c>
      <c r="B16" s="28" t="inlineStr">
        <is>
          <t>D21ID006</t>
        </is>
      </c>
      <c r="C16" s="29" t="inlineStr">
        <is>
          <t>Katyayanee Sharma</t>
        </is>
      </c>
      <c r="D16" s="27" t="inlineStr">
        <is>
          <t>Dual Degree</t>
        </is>
      </c>
      <c r="E16" s="30" t="inlineStr">
        <is>
          <t>M.Tech-Ph.D. Dual Degree in Medical Technology</t>
        </is>
      </c>
      <c r="F16" s="27" t="n">
        <v>2021</v>
      </c>
      <c r="G16" s="27" t="n">
        <v>2026</v>
      </c>
      <c r="H16" s="31" t="inlineStr">
        <is>
          <t>Active</t>
        </is>
      </c>
      <c r="I16" s="30" t="inlineStr">
        <is>
          <t>Nano-Electronic Sensors &amp; Surgical Reshaping Devices</t>
        </is>
      </c>
      <c r="J16" s="30" t="inlineStr">
        <is>
          <t>Prof. Ajay Agarwal (IIT Jodhpur)</t>
        </is>
      </c>
      <c r="K16" s="30" t="inlineStr">
        <is>
          <t>sharma.108@iitj.ac.in</t>
        </is>
      </c>
      <c r="L16" s="27" t="inlineStr">
        <is>
          <t>+91 94140 11223</t>
        </is>
      </c>
      <c r="M16" s="26" t="n">
        <v>3</v>
      </c>
      <c r="N16" s="30" t="inlineStr">
        <is>
          <t>1 Journals, 1 Conferences, 1 Books. Venues: 1. Conference- MNDCS 2024 2. Chapter- Lecture Notes in Electrical Engineering, vol 1382. Springer  3. Chapter- IEEE Biosensors (under review) (First Author) | Paper: "Ultra-Low Power CMOS Transceiver for Implantable Bio-Telemetry Sensors"</t>
        </is>
      </c>
      <c r="O16" s="26" t="n">
        <v>1</v>
      </c>
      <c r="P16" s="30" t="inlineStr">
        <is>
          <t>App 202411033887: Device for Reshaping Cartilage</t>
        </is>
      </c>
      <c r="Q16" s="27" t="n">
        <v>0</v>
      </c>
      <c r="R16" s="30" t="inlineStr">
        <is>
          <t>-</t>
        </is>
      </c>
      <c r="S16" s="26" t="n">
        <v>1</v>
      </c>
      <c r="T16" s="30" t="inlineStr">
        <is>
          <t>MSME Idea Hackathon 4.0 grants</t>
        </is>
      </c>
      <c r="U16" s="27" t="inlineStr">
        <is>
          <t>1997-09-30</t>
        </is>
      </c>
      <c r="V16" s="27" t="inlineStr">
        <is>
          <t>Female</t>
        </is>
      </c>
      <c r="W16" s="30" t="inlineStr">
        <is>
          <t>Centre for Medical Technologies (IDRP)</t>
        </is>
      </c>
      <c r="X16" s="30" t="inlineStr">
        <is>
          <t>Ph.D. Scholar Block C, Room 218, IIT Jodhpur</t>
        </is>
      </c>
      <c r="Y16" s="27" t="inlineStr">
        <is>
          <t>Jodhpur</t>
        </is>
      </c>
      <c r="Z16" s="27" t="inlineStr">
        <is>
          <t>Rajasthan</t>
        </is>
      </c>
      <c r="AA16" s="27" t="inlineStr">
        <is>
          <t>342030</t>
        </is>
      </c>
      <c r="AB16" s="30" t="inlineStr">
        <is>
          <t>Official Cohort Registry (IIT Jodhpur MedTech Portal)</t>
        </is>
      </c>
    </row>
    <row r="17" ht="20" customHeight="1">
      <c r="A17" s="21" t="n">
        <v>13</v>
      </c>
      <c r="B17" s="22" t="inlineStr">
        <is>
          <t>D22ID001</t>
        </is>
      </c>
      <c r="C17" s="23" t="inlineStr">
        <is>
          <t>Jyoti Yadav</t>
        </is>
      </c>
      <c r="D17" s="21" t="inlineStr">
        <is>
          <t>Dual Degree</t>
        </is>
      </c>
      <c r="E17" s="24" t="inlineStr">
        <is>
          <t>M.Tech-Ph.D. Dual Degree in Medical Technology</t>
        </is>
      </c>
      <c r="F17" s="21" t="n">
        <v>2022</v>
      </c>
      <c r="G17" s="21" t="n">
        <v>2027</v>
      </c>
      <c r="H17" s="25" t="inlineStr">
        <is>
          <t>Alumni</t>
        </is>
      </c>
      <c r="I17" s="24" t="inlineStr">
        <is>
          <t>Medical Technology</t>
        </is>
      </c>
      <c r="J17" s="24" t="inlineStr">
        <is>
          <t>Faculty Board (IDRP / AIIMS-IIT Joint)</t>
        </is>
      </c>
      <c r="K17" s="24" t="inlineStr">
        <is>
          <t>d22id001@iitj.ac.in</t>
        </is>
      </c>
      <c r="L17" s="21" t="inlineStr">
        <is>
          <t>-</t>
        </is>
      </c>
      <c r="M17" s="21" t="n">
        <v>0</v>
      </c>
      <c r="N17" s="24" t="inlineStr">
        <is>
          <t>-</t>
        </is>
      </c>
      <c r="O17" s="21" t="n">
        <v>0</v>
      </c>
      <c r="P17" s="24" t="inlineStr">
        <is>
          <t>-</t>
        </is>
      </c>
      <c r="Q17" s="21" t="n">
        <v>0</v>
      </c>
      <c r="R17" s="24" t="inlineStr">
        <is>
          <t>-</t>
        </is>
      </c>
      <c r="S17" s="21" t="n">
        <v>0</v>
      </c>
      <c r="T17" s="24" t="inlineStr">
        <is>
          <t>-</t>
        </is>
      </c>
      <c r="U17" s="21" t="inlineStr">
        <is>
          <t>-</t>
        </is>
      </c>
      <c r="V17" s="21" t="inlineStr">
        <is>
          <t>-</t>
        </is>
      </c>
      <c r="W17" s="24" t="inlineStr">
        <is>
          <t>Centre for Medical Technologies (IDRP)</t>
        </is>
      </c>
      <c r="X17" s="24" t="inlineStr">
        <is>
          <t>IIT Jodhpur Permanent Campus, NH 62, Karwar</t>
        </is>
      </c>
      <c r="Y17" s="21" t="inlineStr">
        <is>
          <t>Jodhpur</t>
        </is>
      </c>
      <c r="Z17" s="21" t="inlineStr">
        <is>
          <t>Rajasthan</t>
        </is>
      </c>
      <c r="AA17" s="21" t="inlineStr">
        <is>
          <t>342030</t>
        </is>
      </c>
      <c r="AB17" s="24" t="inlineStr">
        <is>
          <t>Official Cohort Registry (IIT Jodhpur MedTech Portal)</t>
        </is>
      </c>
    </row>
    <row r="18" ht="20" customHeight="1">
      <c r="A18" s="27" t="n">
        <v>14</v>
      </c>
      <c r="B18" s="28" t="inlineStr">
        <is>
          <t>D22ID002</t>
        </is>
      </c>
      <c r="C18" s="29" t="inlineStr">
        <is>
          <t>Prateek Mishra</t>
        </is>
      </c>
      <c r="D18" s="27" t="inlineStr">
        <is>
          <t>Dual Degree</t>
        </is>
      </c>
      <c r="E18" s="30" t="inlineStr">
        <is>
          <t>M.Tech-Ph.D. Dual Degree in Medical Technology</t>
        </is>
      </c>
      <c r="F18" s="27" t="n">
        <v>2022</v>
      </c>
      <c r="G18" s="27" t="n">
        <v>2027</v>
      </c>
      <c r="H18" s="25" t="inlineStr">
        <is>
          <t>Alumni</t>
        </is>
      </c>
      <c r="I18" s="30" t="inlineStr">
        <is>
          <t>Medical Technology</t>
        </is>
      </c>
      <c r="J18" s="30" t="inlineStr">
        <is>
          <t>Faculty Board (IDRP / AIIMS-IIT Joint)</t>
        </is>
      </c>
      <c r="K18" s="30" t="inlineStr">
        <is>
          <t>d22id002@iitj.ac.in</t>
        </is>
      </c>
      <c r="L18" s="27" t="inlineStr">
        <is>
          <t>-</t>
        </is>
      </c>
      <c r="M18" s="27" t="n">
        <v>0</v>
      </c>
      <c r="N18" s="30" t="inlineStr">
        <is>
          <t>-</t>
        </is>
      </c>
      <c r="O18" s="27" t="n">
        <v>0</v>
      </c>
      <c r="P18" s="30" t="inlineStr">
        <is>
          <t>-</t>
        </is>
      </c>
      <c r="Q18" s="27" t="n">
        <v>0</v>
      </c>
      <c r="R18" s="30" t="inlineStr">
        <is>
          <t>-</t>
        </is>
      </c>
      <c r="S18" s="27" t="n">
        <v>0</v>
      </c>
      <c r="T18" s="30" t="inlineStr">
        <is>
          <t>-</t>
        </is>
      </c>
      <c r="U18" s="27" t="inlineStr">
        <is>
          <t>-</t>
        </is>
      </c>
      <c r="V18" s="27" t="inlineStr">
        <is>
          <t>-</t>
        </is>
      </c>
      <c r="W18" s="30" t="inlineStr">
        <is>
          <t>Centre for Medical Technologies (IDRP)</t>
        </is>
      </c>
      <c r="X18" s="30" t="inlineStr">
        <is>
          <t>IIT Jodhpur Permanent Campus, NH 62, Karwar</t>
        </is>
      </c>
      <c r="Y18" s="27" t="inlineStr">
        <is>
          <t>Jodhpur</t>
        </is>
      </c>
      <c r="Z18" s="27" t="inlineStr">
        <is>
          <t>Rajasthan</t>
        </is>
      </c>
      <c r="AA18" s="27" t="inlineStr">
        <is>
          <t>342030</t>
        </is>
      </c>
      <c r="AB18" s="30" t="inlineStr">
        <is>
          <t>Official Cohort Registry (IIT Jodhpur MedTech Portal)</t>
        </is>
      </c>
    </row>
    <row r="19" ht="20" customHeight="1">
      <c r="A19" s="21" t="n">
        <v>15</v>
      </c>
      <c r="B19" s="22" t="inlineStr">
        <is>
          <t>D22ID003</t>
        </is>
      </c>
      <c r="C19" s="23" t="inlineStr">
        <is>
          <t>Abhijeet Rajak</t>
        </is>
      </c>
      <c r="D19" s="21" t="inlineStr">
        <is>
          <t>Dual Degree</t>
        </is>
      </c>
      <c r="E19" s="24" t="inlineStr">
        <is>
          <t>M.Tech-Ph.D. Dual Degree in Medical Technology</t>
        </is>
      </c>
      <c r="F19" s="21" t="n">
        <v>2022</v>
      </c>
      <c r="G19" s="21" t="n">
        <v>2027</v>
      </c>
      <c r="H19" s="25" t="inlineStr">
        <is>
          <t>Alumni</t>
        </is>
      </c>
      <c r="I19" s="24" t="inlineStr">
        <is>
          <t>Automated Multi-Channel Diagnostic Systems</t>
        </is>
      </c>
      <c r="J19" s="24" t="inlineStr">
        <is>
          <t>Dr. Arpit Khandelwal (IIT Jodhpur)</t>
        </is>
      </c>
      <c r="K19" s="24" t="inlineStr">
        <is>
          <t>d22id003@iitj.ac.in</t>
        </is>
      </c>
      <c r="L19" s="21" t="inlineStr">
        <is>
          <t>-</t>
        </is>
      </c>
      <c r="M19" s="21" t="n">
        <v>0</v>
      </c>
      <c r="N19" s="24" t="inlineStr">
        <is>
          <t>-</t>
        </is>
      </c>
      <c r="O19" s="26" t="n">
        <v>1</v>
      </c>
      <c r="P19" s="24" t="inlineStr">
        <is>
          <t>App 202511108503: Automated Multi-Channel Point-of-Care Diagnostics Device</t>
        </is>
      </c>
      <c r="Q19" s="21" t="n">
        <v>0</v>
      </c>
      <c r="R19" s="24" t="inlineStr">
        <is>
          <t>-</t>
        </is>
      </c>
      <c r="S19" s="21" t="n">
        <v>0</v>
      </c>
      <c r="T19" s="24" t="inlineStr">
        <is>
          <t>-</t>
        </is>
      </c>
      <c r="U19" s="21" t="inlineStr">
        <is>
          <t>-</t>
        </is>
      </c>
      <c r="V19" s="21" t="inlineStr">
        <is>
          <t>-</t>
        </is>
      </c>
      <c r="W19" s="24" t="inlineStr">
        <is>
          <t>Centre for Medical Technologies (IDRP)</t>
        </is>
      </c>
      <c r="X19" s="24" t="inlineStr">
        <is>
          <t>IIT Jodhpur Permanent Campus, NH 62, Karwar</t>
        </is>
      </c>
      <c r="Y19" s="21" t="inlineStr">
        <is>
          <t>Jodhpur</t>
        </is>
      </c>
      <c r="Z19" s="21" t="inlineStr">
        <is>
          <t>Rajasthan</t>
        </is>
      </c>
      <c r="AA19" s="21" t="inlineStr">
        <is>
          <t>342030</t>
        </is>
      </c>
      <c r="AB19" s="24" t="inlineStr">
        <is>
          <t>Official Cohort Registry (IIT Jodhpur MedTech Portal)</t>
        </is>
      </c>
    </row>
    <row r="20" ht="20" customHeight="1">
      <c r="A20" s="27" t="n">
        <v>16</v>
      </c>
      <c r="B20" s="28" t="inlineStr">
        <is>
          <t>D23IM1001</t>
        </is>
      </c>
      <c r="C20" s="29" t="inlineStr">
        <is>
          <t>Divya Prakash Pandey</t>
        </is>
      </c>
      <c r="D20" s="27" t="inlineStr">
        <is>
          <t>Dual Degree</t>
        </is>
      </c>
      <c r="E20" s="30" t="inlineStr">
        <is>
          <t>M.Tech-Ph.D. Dual Degree in Medical Technology</t>
        </is>
      </c>
      <c r="F20" s="27" t="n">
        <v>2023</v>
      </c>
      <c r="G20" s="27" t="n">
        <v>2028</v>
      </c>
      <c r="H20" s="25" t="inlineStr">
        <is>
          <t>Alumni</t>
        </is>
      </c>
      <c r="I20" s="30" t="inlineStr">
        <is>
          <t>Medical Technology</t>
        </is>
      </c>
      <c r="J20" s="30" t="inlineStr">
        <is>
          <t>Faculty Board (IDRP / AIIMS-IIT Joint)</t>
        </is>
      </c>
      <c r="K20" s="30" t="inlineStr">
        <is>
          <t>d23im1001@iitj.ac.in</t>
        </is>
      </c>
      <c r="L20" s="27" t="inlineStr">
        <is>
          <t>-</t>
        </is>
      </c>
      <c r="M20" s="27" t="n">
        <v>0</v>
      </c>
      <c r="N20" s="30" t="inlineStr">
        <is>
          <t>-</t>
        </is>
      </c>
      <c r="O20" s="27" t="n">
        <v>0</v>
      </c>
      <c r="P20" s="30" t="inlineStr">
        <is>
          <t>-</t>
        </is>
      </c>
      <c r="Q20" s="27" t="n">
        <v>0</v>
      </c>
      <c r="R20" s="30" t="inlineStr">
        <is>
          <t>-</t>
        </is>
      </c>
      <c r="S20" s="27" t="n">
        <v>0</v>
      </c>
      <c r="T20" s="30" t="inlineStr">
        <is>
          <t>-</t>
        </is>
      </c>
      <c r="U20" s="27" t="inlineStr">
        <is>
          <t>-</t>
        </is>
      </c>
      <c r="V20" s="27" t="inlineStr">
        <is>
          <t>-</t>
        </is>
      </c>
      <c r="W20" s="30" t="inlineStr">
        <is>
          <t>Centre for Medical Technologies (IDRP)</t>
        </is>
      </c>
      <c r="X20" s="30" t="inlineStr">
        <is>
          <t>IIT Jodhpur Permanent Campus, NH 62, Karwar</t>
        </is>
      </c>
      <c r="Y20" s="27" t="inlineStr">
        <is>
          <t>Jodhpur</t>
        </is>
      </c>
      <c r="Z20" s="27" t="inlineStr">
        <is>
          <t>Rajasthan</t>
        </is>
      </c>
      <c r="AA20" s="27" t="inlineStr">
        <is>
          <t>342030</t>
        </is>
      </c>
      <c r="AB20" s="30" t="inlineStr">
        <is>
          <t>Official Cohort Registry (IIT Jodhpur MedTech Portal)</t>
        </is>
      </c>
    </row>
    <row r="21" ht="20" customHeight="1">
      <c r="A21" s="21" t="n">
        <v>17</v>
      </c>
      <c r="B21" s="22" t="inlineStr">
        <is>
          <t>D24IM1001</t>
        </is>
      </c>
      <c r="C21" s="23" t="inlineStr">
        <is>
          <t>Md Tauqueer Alam</t>
        </is>
      </c>
      <c r="D21" s="21" t="inlineStr">
        <is>
          <t>Dual Degree</t>
        </is>
      </c>
      <c r="E21" s="24" t="inlineStr">
        <is>
          <t>M.Tech-Ph.D. Dual Degree in Medical Technology</t>
        </is>
      </c>
      <c r="F21" s="21" t="n">
        <v>2024</v>
      </c>
      <c r="G21" s="21" t="n">
        <v>2029</v>
      </c>
      <c r="H21" s="31" t="inlineStr">
        <is>
          <t>Active</t>
        </is>
      </c>
      <c r="I21" s="24" t="inlineStr">
        <is>
          <t>Medical Technology</t>
        </is>
      </c>
      <c r="J21" s="24" t="inlineStr">
        <is>
          <t>Faculty Board (IDRP / AIIMS-IIT Joint)</t>
        </is>
      </c>
      <c r="K21" s="24" t="inlineStr">
        <is>
          <t>d24im1001@iitj.ac.in</t>
        </is>
      </c>
      <c r="L21" s="21" t="inlineStr">
        <is>
          <t>-</t>
        </is>
      </c>
      <c r="M21" s="21" t="n">
        <v>0</v>
      </c>
      <c r="N21" s="24" t="inlineStr">
        <is>
          <t>-</t>
        </is>
      </c>
      <c r="O21" s="21" t="n">
        <v>0</v>
      </c>
      <c r="P21" s="24" t="inlineStr">
        <is>
          <t>-</t>
        </is>
      </c>
      <c r="Q21" s="21" t="n">
        <v>0</v>
      </c>
      <c r="R21" s="24" t="inlineStr">
        <is>
          <t>-</t>
        </is>
      </c>
      <c r="S21" s="21" t="n">
        <v>0</v>
      </c>
      <c r="T21" s="24" t="inlineStr">
        <is>
          <t>-</t>
        </is>
      </c>
      <c r="U21" s="21" t="inlineStr">
        <is>
          <t>-</t>
        </is>
      </c>
      <c r="V21" s="21" t="inlineStr">
        <is>
          <t>-</t>
        </is>
      </c>
      <c r="W21" s="24" t="inlineStr">
        <is>
          <t>Centre for Medical Technologies (IDRP)</t>
        </is>
      </c>
      <c r="X21" s="24" t="inlineStr">
        <is>
          <t>IIT Jodhpur Permanent Campus, NH 62, Karwar</t>
        </is>
      </c>
      <c r="Y21" s="21" t="inlineStr">
        <is>
          <t>Jodhpur</t>
        </is>
      </c>
      <c r="Z21" s="21" t="inlineStr">
        <is>
          <t>Rajasthan</t>
        </is>
      </c>
      <c r="AA21" s="21" t="inlineStr">
        <is>
          <t>342030</t>
        </is>
      </c>
      <c r="AB21" s="24" t="inlineStr">
        <is>
          <t>Official Cohort Registry (IIT Jodhpur MedTech Portal)</t>
        </is>
      </c>
    </row>
    <row r="22" ht="20" customHeight="1">
      <c r="A22" s="27" t="n">
        <v>18</v>
      </c>
      <c r="B22" s="28" t="inlineStr">
        <is>
          <t>D25IM1001</t>
        </is>
      </c>
      <c r="C22" s="29" t="inlineStr">
        <is>
          <t>Ankur Bhardwaj</t>
        </is>
      </c>
      <c r="D22" s="27" t="inlineStr">
        <is>
          <t>Dual Degree</t>
        </is>
      </c>
      <c r="E22" s="30" t="inlineStr">
        <is>
          <t>M.Tech-Ph.D. Dual Degree in Medical Technology</t>
        </is>
      </c>
      <c r="F22" s="27" t="n">
        <v>2025</v>
      </c>
      <c r="G22" s="27" t="n">
        <v>2030</v>
      </c>
      <c r="H22" s="31" t="inlineStr">
        <is>
          <t>Active</t>
        </is>
      </c>
      <c r="I22" s="30" t="inlineStr">
        <is>
          <t>Medical Technology</t>
        </is>
      </c>
      <c r="J22" s="30" t="inlineStr">
        <is>
          <t>Faculty Board (IDRP / AIIMS-IIT Joint)</t>
        </is>
      </c>
      <c r="K22" s="30" t="inlineStr">
        <is>
          <t>d25im1001@iitj.ac.in</t>
        </is>
      </c>
      <c r="L22" s="27" t="inlineStr">
        <is>
          <t>-</t>
        </is>
      </c>
      <c r="M22" s="27" t="n">
        <v>0</v>
      </c>
      <c r="N22" s="30" t="inlineStr">
        <is>
          <t>-</t>
        </is>
      </c>
      <c r="O22" s="27" t="n">
        <v>0</v>
      </c>
      <c r="P22" s="30" t="inlineStr">
        <is>
          <t>-</t>
        </is>
      </c>
      <c r="Q22" s="27" t="n">
        <v>0</v>
      </c>
      <c r="R22" s="30" t="inlineStr">
        <is>
          <t>-</t>
        </is>
      </c>
      <c r="S22" s="27" t="n">
        <v>0</v>
      </c>
      <c r="T22" s="30" t="inlineStr">
        <is>
          <t>-</t>
        </is>
      </c>
      <c r="U22" s="27" t="inlineStr">
        <is>
          <t>-</t>
        </is>
      </c>
      <c r="V22" s="27" t="inlineStr">
        <is>
          <t>-</t>
        </is>
      </c>
      <c r="W22" s="30" t="inlineStr">
        <is>
          <t>Centre for Medical Technologies (IDRP)</t>
        </is>
      </c>
      <c r="X22" s="30" t="inlineStr">
        <is>
          <t>IIT Jodhpur Permanent Campus, NH 62, Karwar</t>
        </is>
      </c>
      <c r="Y22" s="27" t="inlineStr">
        <is>
          <t>Jodhpur</t>
        </is>
      </c>
      <c r="Z22" s="27" t="inlineStr">
        <is>
          <t>Rajasthan</t>
        </is>
      </c>
      <c r="AA22" s="27" t="inlineStr">
        <is>
          <t>342030</t>
        </is>
      </c>
      <c r="AB22" s="30" t="inlineStr">
        <is>
          <t>Official Cohort Registry (IIT Jodhpur MedTech Portal)</t>
        </is>
      </c>
    </row>
    <row r="23" ht="20" customHeight="1">
      <c r="A23" s="21" t="n">
        <v>19</v>
      </c>
      <c r="B23" s="22" t="inlineStr">
        <is>
          <t>D25IM1002</t>
        </is>
      </c>
      <c r="C23" s="23" t="inlineStr">
        <is>
          <t>Jestin Joseph</t>
        </is>
      </c>
      <c r="D23" s="21" t="inlineStr">
        <is>
          <t>Dual Degree</t>
        </is>
      </c>
      <c r="E23" s="24" t="inlineStr">
        <is>
          <t>M.Tech-Ph.D. Dual Degree in Medical Technology</t>
        </is>
      </c>
      <c r="F23" s="21" t="n">
        <v>2025</v>
      </c>
      <c r="G23" s="21" t="n">
        <v>2030</v>
      </c>
      <c r="H23" s="31" t="inlineStr">
        <is>
          <t>Active</t>
        </is>
      </c>
      <c r="I23" s="24" t="inlineStr">
        <is>
          <t>Medical Technology</t>
        </is>
      </c>
      <c r="J23" s="24" t="inlineStr">
        <is>
          <t>Faculty Board (IDRP / AIIMS-IIT Joint)</t>
        </is>
      </c>
      <c r="K23" s="24" t="inlineStr">
        <is>
          <t>d25im1002@iitj.ac.in</t>
        </is>
      </c>
      <c r="L23" s="21" t="inlineStr">
        <is>
          <t>-</t>
        </is>
      </c>
      <c r="M23" s="21" t="n">
        <v>0</v>
      </c>
      <c r="N23" s="24" t="inlineStr">
        <is>
          <t>-</t>
        </is>
      </c>
      <c r="O23" s="21" t="n">
        <v>0</v>
      </c>
      <c r="P23" s="24" t="inlineStr">
        <is>
          <t>-</t>
        </is>
      </c>
      <c r="Q23" s="21" t="n">
        <v>0</v>
      </c>
      <c r="R23" s="24" t="inlineStr">
        <is>
          <t>-</t>
        </is>
      </c>
      <c r="S23" s="21" t="n">
        <v>0</v>
      </c>
      <c r="T23" s="24" t="inlineStr">
        <is>
          <t>-</t>
        </is>
      </c>
      <c r="U23" s="21" t="inlineStr">
        <is>
          <t>-</t>
        </is>
      </c>
      <c r="V23" s="21" t="inlineStr">
        <is>
          <t>-</t>
        </is>
      </c>
      <c r="W23" s="24" t="inlineStr">
        <is>
          <t>Centre for Medical Technologies (IDRP)</t>
        </is>
      </c>
      <c r="X23" s="24" t="inlineStr">
        <is>
          <t>IIT Jodhpur Permanent Campus, NH 62, Karwar</t>
        </is>
      </c>
      <c r="Y23" s="21" t="inlineStr">
        <is>
          <t>Jodhpur</t>
        </is>
      </c>
      <c r="Z23" s="21" t="inlineStr">
        <is>
          <t>Rajasthan</t>
        </is>
      </c>
      <c r="AA23" s="21" t="inlineStr">
        <is>
          <t>342030</t>
        </is>
      </c>
      <c r="AB23" s="24" t="inlineStr">
        <is>
          <t>Official Cohort Registry (IIT Jodhpur MedTech Portal)</t>
        </is>
      </c>
    </row>
    <row r="24" ht="20" customHeight="1">
      <c r="A24" s="27" t="n">
        <v>20</v>
      </c>
      <c r="B24" s="28" t="inlineStr">
        <is>
          <t>D25IM1005</t>
        </is>
      </c>
      <c r="C24" s="29" t="inlineStr">
        <is>
          <t>Mohammed Fahim C</t>
        </is>
      </c>
      <c r="D24" s="27" t="inlineStr">
        <is>
          <t>Dual Degree</t>
        </is>
      </c>
      <c r="E24" s="30" t="inlineStr">
        <is>
          <t>M.Tech-Ph.D. Dual Degree in Medical Technology</t>
        </is>
      </c>
      <c r="F24" s="27" t="n">
        <v>2025</v>
      </c>
      <c r="G24" s="27" t="n">
        <v>2030</v>
      </c>
      <c r="H24" s="31" t="inlineStr">
        <is>
          <t>Active</t>
        </is>
      </c>
      <c r="I24" s="30" t="inlineStr">
        <is>
          <t>Medical Technology</t>
        </is>
      </c>
      <c r="J24" s="30" t="inlineStr">
        <is>
          <t>Faculty Board (IDRP / AIIMS-IIT Joint)</t>
        </is>
      </c>
      <c r="K24" s="30" t="inlineStr">
        <is>
          <t>d25im1005@iitj.ac.in</t>
        </is>
      </c>
      <c r="L24" s="27" t="inlineStr">
        <is>
          <t>-</t>
        </is>
      </c>
      <c r="M24" s="27" t="n">
        <v>0</v>
      </c>
      <c r="N24" s="30" t="inlineStr">
        <is>
          <t>-</t>
        </is>
      </c>
      <c r="O24" s="27" t="n">
        <v>0</v>
      </c>
      <c r="P24" s="30" t="inlineStr">
        <is>
          <t>-</t>
        </is>
      </c>
      <c r="Q24" s="27" t="n">
        <v>0</v>
      </c>
      <c r="R24" s="30" t="inlineStr">
        <is>
          <t>-</t>
        </is>
      </c>
      <c r="S24" s="27" t="n">
        <v>0</v>
      </c>
      <c r="T24" s="30" t="inlineStr">
        <is>
          <t>-</t>
        </is>
      </c>
      <c r="U24" s="27" t="inlineStr">
        <is>
          <t>-</t>
        </is>
      </c>
      <c r="V24" s="27" t="inlineStr">
        <is>
          <t>-</t>
        </is>
      </c>
      <c r="W24" s="30" t="inlineStr">
        <is>
          <t>Centre for Medical Technologies (IDRP)</t>
        </is>
      </c>
      <c r="X24" s="30" t="inlineStr">
        <is>
          <t>IIT Jodhpur Permanent Campus, NH 62, Karwar</t>
        </is>
      </c>
      <c r="Y24" s="27" t="inlineStr">
        <is>
          <t>Jodhpur</t>
        </is>
      </c>
      <c r="Z24" s="27" t="inlineStr">
        <is>
          <t>Rajasthan</t>
        </is>
      </c>
      <c r="AA24" s="27" t="inlineStr">
        <is>
          <t>342030</t>
        </is>
      </c>
      <c r="AB24" s="30" t="inlineStr">
        <is>
          <t>Official Cohort Registry (IIT Jodhpur MedTech Portal)</t>
        </is>
      </c>
    </row>
  </sheetData>
  <autoFilter ref="A4:AB24"/>
  <mergeCells count="2">
    <mergeCell ref="A2:AB2"/>
    <mergeCell ref="A1:A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B130"/>
  <sheetViews>
    <sheetView showGridLines="1" workbookViewId="0">
      <pane xSplit="3" ySplit="3" topLeftCell="D4" activePane="bottomRight" state="frozen"/>
      <selection pane="topRight"/>
      <selection pane="bottomLeft"/>
      <selection pane="bottomRight" activeCell="A1" sqref="A1"/>
    </sheetView>
  </sheetViews>
  <sheetFormatPr baseColWidth="8" defaultRowHeight="15"/>
  <cols>
    <col width="8" customWidth="1" min="1" max="1"/>
    <col width="15" customWidth="1" min="2" max="2"/>
    <col width="26" customWidth="1" min="3" max="3"/>
    <col width="14" customWidth="1" min="4" max="4"/>
    <col width="34" customWidth="1" min="5" max="5"/>
    <col width="13" customWidth="1" min="6" max="6"/>
    <col width="16" customWidth="1" min="7" max="7"/>
    <col width="15" customWidth="1" min="8" max="8"/>
    <col width="36" customWidth="1" min="9" max="9"/>
    <col width="38" customWidth="1" min="10" max="10"/>
    <col width="28" customWidth="1" min="11" max="11"/>
    <col width="16" customWidth="1" min="12" max="12"/>
    <col width="18" customWidth="1" min="13" max="13"/>
    <col width="42" customWidth="1" min="14" max="14"/>
    <col width="15" customWidth="1" min="15" max="15"/>
    <col width="42" customWidth="1" min="16" max="16"/>
    <col width="15" customWidth="1" min="17" max="17"/>
    <col width="40" customWidth="1" min="18" max="18"/>
    <col width="15" customWidth="1" min="19" max="19"/>
    <col width="35" customWidth="1" min="20" max="20"/>
    <col width="14" customWidth="1" min="21" max="21"/>
    <col width="10" customWidth="1" min="22" max="22"/>
    <col width="32" customWidth="1" min="23" max="23"/>
    <col width="36" customWidth="1" min="24" max="24"/>
    <col width="12" customWidth="1" min="25" max="25"/>
    <col width="12" customWidth="1" min="26" max="26"/>
    <col width="10" customWidth="1" min="27" max="27"/>
    <col width="38" customWidth="1" min="28" max="28"/>
  </cols>
  <sheetData>
    <row r="1" ht="32" customHeight="1">
      <c r="A1" s="1" t="inlineStr">
        <is>
          <t>CENTRE FOR MEDICAL TECHNOLOGIES (IDRP) | IIT JODHPUR &amp; AIIMS JODHPUR</t>
        </is>
      </c>
    </row>
    <row r="2" ht="18" customHeight="1">
      <c r="A2" s="2" t="inlineStr">
        <is>
          <t>Chronological Year-by-Year Cohort Register (2020 through 2026 Admissions)</t>
        </is>
      </c>
    </row>
    <row r="4" ht="24" customHeight="1">
      <c r="A4" s="32" t="inlineStr">
        <is>
          <t>🎓 ADMISSION COHORT 2020 — Total Scholars: 25 (Masters: 6 | Ph.D.: 11 | Dual Degree: 8)</t>
        </is>
      </c>
      <c r="B4" s="33" t="n"/>
      <c r="C4" s="33" t="n"/>
      <c r="D4" s="33" t="n"/>
      <c r="E4" s="33" t="n"/>
      <c r="F4" s="33" t="n"/>
      <c r="G4" s="33" t="n"/>
      <c r="H4" s="33" t="n"/>
      <c r="I4" s="33" t="n"/>
      <c r="J4" s="33" t="n"/>
      <c r="K4" s="33" t="n"/>
      <c r="L4" s="33" t="n"/>
      <c r="M4" s="33" t="n"/>
      <c r="N4" s="33" t="n"/>
      <c r="O4" s="33" t="n"/>
      <c r="P4" s="33" t="n"/>
      <c r="Q4" s="33" t="n"/>
      <c r="R4" s="33" t="n"/>
      <c r="S4" s="33" t="n"/>
      <c r="T4" s="33" t="n"/>
      <c r="U4" s="33" t="n"/>
      <c r="V4" s="33" t="n"/>
      <c r="W4" s="33" t="n"/>
      <c r="X4" s="33" t="n"/>
      <c r="Y4" s="33" t="n"/>
      <c r="Z4" s="33" t="n"/>
      <c r="AA4" s="33" t="n"/>
      <c r="AB4" s="33" t="n"/>
    </row>
    <row r="5" ht="22" customHeight="1">
      <c r="A5" s="34" t="inlineStr">
        <is>
          <t>S.No.</t>
        </is>
      </c>
      <c r="B5" s="34" t="inlineStr">
        <is>
          <t>Roll Number</t>
        </is>
      </c>
      <c r="C5" s="34" t="inlineStr">
        <is>
          <t>Student Scholar Name</t>
        </is>
      </c>
      <c r="D5" s="34" t="inlineStr">
        <is>
          <t>Program Level</t>
        </is>
      </c>
      <c r="E5" s="34" t="inlineStr">
        <is>
          <t>Degree Program</t>
        </is>
      </c>
      <c r="F5" s="34" t="inlineStr">
        <is>
          <t>Cohort Year</t>
        </is>
      </c>
      <c r="G5" s="34" t="inlineStr">
        <is>
          <t>Graduation Year</t>
        </is>
      </c>
      <c r="H5" s="34" t="inlineStr">
        <is>
          <t>Academic Status</t>
        </is>
      </c>
      <c r="I5" s="34" t="inlineStr">
        <is>
          <t>Specialization &amp; Research Focus</t>
        </is>
      </c>
      <c r="J5" s="34" t="inlineStr">
        <is>
          <t>Faculty Supervisor(s) (IIT &amp; AIIMS)</t>
        </is>
      </c>
      <c r="K5" s="34" t="inlineStr">
        <is>
          <t>Institutional Email</t>
        </is>
      </c>
      <c r="L5" s="34" t="inlineStr">
        <is>
          <t>Contact Phone</t>
        </is>
      </c>
      <c r="M5" s="34" t="inlineStr">
        <is>
          <t>Publications (Count)</t>
        </is>
      </c>
      <c r="N5" s="34" t="inlineStr">
        <is>
          <t>Publication Venues &amp; Papers</t>
        </is>
      </c>
      <c r="O5" s="34" t="inlineStr">
        <is>
          <t>Patents (Count)</t>
        </is>
      </c>
      <c r="P5" s="34" t="inlineStr">
        <is>
          <t>Patent Filings &amp; Application Nos.</t>
        </is>
      </c>
      <c r="Q5" s="34" t="inlineStr">
        <is>
          <t>Startups (Count)</t>
        </is>
      </c>
      <c r="R5" s="34" t="inlineStr">
        <is>
          <t>Startup Ventures &amp; Student Roles</t>
        </is>
      </c>
      <c r="S5" s="34" t="inlineStr">
        <is>
          <t>Awards (Count)</t>
        </is>
      </c>
      <c r="T5" s="34" t="inlineStr">
        <is>
          <t>Awards, Honors &amp; Hackathon Wins</t>
        </is>
      </c>
      <c r="U5" s="34" t="inlineStr">
        <is>
          <t>Date of Birth</t>
        </is>
      </c>
      <c r="V5" s="34" t="inlineStr">
        <is>
          <t>Gender</t>
        </is>
      </c>
      <c r="W5" s="34" t="inlineStr">
        <is>
          <t>Department / Centre</t>
        </is>
      </c>
      <c r="X5" s="34" t="inlineStr">
        <is>
          <t>Campus / Residential Address</t>
        </is>
      </c>
      <c r="Y5" s="34" t="inlineStr">
        <is>
          <t>City</t>
        </is>
      </c>
      <c r="Z5" s="34" t="inlineStr">
        <is>
          <t>State</t>
        </is>
      </c>
      <c r="AA5" s="34" t="inlineStr">
        <is>
          <t>Pincode</t>
        </is>
      </c>
      <c r="AB5" s="34" t="inlineStr">
        <is>
          <t>Verification Source URL / Provenance</t>
        </is>
      </c>
    </row>
    <row r="6" ht="19" customHeight="1">
      <c r="A6" s="21" t="n">
        <v>1</v>
      </c>
      <c r="B6" s="22" t="inlineStr">
        <is>
          <t>M20ID001</t>
        </is>
      </c>
      <c r="C6" s="23" t="inlineStr">
        <is>
          <t>Anup Kamal Kakwani</t>
        </is>
      </c>
      <c r="D6" s="21" t="inlineStr">
        <is>
          <t>Masters</t>
        </is>
      </c>
      <c r="E6" s="24" t="inlineStr">
        <is>
          <t>M.Tech in Medical Technology</t>
        </is>
      </c>
      <c r="F6" s="21" t="n">
        <v>2020</v>
      </c>
      <c r="G6" s="21" t="n">
        <v>2022</v>
      </c>
      <c r="H6" s="25" t="inlineStr">
        <is>
          <t>Alumni</t>
        </is>
      </c>
      <c r="I6" s="24" t="inlineStr">
        <is>
          <t>Endodontics &amp; Dental Irrigation Systems</t>
        </is>
      </c>
      <c r="J6" s="24" t="inlineStr">
        <is>
          <t>Dr. Pravin Kumar (AIIMS Jodhpur) &amp; Dr. Jaiveer Singh (IIT Jodhpur)</t>
        </is>
      </c>
      <c r="K6" s="24" t="inlineStr">
        <is>
          <t>m20id001@iitj.ac.in</t>
        </is>
      </c>
      <c r="L6" s="21" t="inlineStr">
        <is>
          <t>-</t>
        </is>
      </c>
      <c r="M6" s="21" t="n">
        <v>0</v>
      </c>
      <c r="N6" s="24" t="inlineStr">
        <is>
          <t>-</t>
        </is>
      </c>
      <c r="O6" s="21" t="n">
        <v>1</v>
      </c>
      <c r="P6" s="24" t="inlineStr">
        <is>
          <t>App #202211041593: A Cost Effective and User Friendly System to Irrigate Root Canal Under Apical Negative Pressure (Published) | App 202211041593: Root Canal Irrigation System Under Apical Negative Pressure</t>
        </is>
      </c>
      <c r="Q6" s="21" t="n">
        <v>1</v>
      </c>
      <c r="R6" s="24" t="inlineStr">
        <is>
          <t>NxGen Healtech Pvt. Ltd. (Founder &amp; Managing Director, Pre-Incubatee) | NxGen Healtech Pvt. Ltd. (Founder)</t>
        </is>
      </c>
      <c r="S6" s="21" t="n">
        <v>0</v>
      </c>
      <c r="T6" s="24" t="inlineStr">
        <is>
          <t>-</t>
        </is>
      </c>
      <c r="U6" s="21" t="inlineStr">
        <is>
          <t>-</t>
        </is>
      </c>
      <c r="V6" s="21" t="inlineStr">
        <is>
          <t>-</t>
        </is>
      </c>
      <c r="W6" s="24" t="inlineStr">
        <is>
          <t>Centre for Medical Technologies (IDRP)</t>
        </is>
      </c>
      <c r="X6" s="24" t="inlineStr">
        <is>
          <t>IIT Jodhpur Permanent Campus, NH 62, Karwar</t>
        </is>
      </c>
      <c r="Y6" s="21" t="inlineStr">
        <is>
          <t>Jodhpur</t>
        </is>
      </c>
      <c r="Z6" s="21" t="inlineStr">
        <is>
          <t>Rajasthan</t>
        </is>
      </c>
      <c r="AA6" s="21" t="inlineStr">
        <is>
          <t>342030</t>
        </is>
      </c>
      <c r="AB6" s="24" t="inlineStr">
        <is>
          <t>Official Cohort Registry (IIT Jodhpur MedTech Portal)</t>
        </is>
      </c>
    </row>
    <row r="7" ht="19" customHeight="1">
      <c r="A7" s="27" t="n">
        <v>2</v>
      </c>
      <c r="B7" s="28" t="inlineStr">
        <is>
          <t>M20ID002</t>
        </is>
      </c>
      <c r="C7" s="29" t="inlineStr">
        <is>
          <t>Anushri Bhardwaj</t>
        </is>
      </c>
      <c r="D7" s="27" t="inlineStr">
        <is>
          <t>Masters</t>
        </is>
      </c>
      <c r="E7" s="30" t="inlineStr">
        <is>
          <t>M.Tech in Medical Technology</t>
        </is>
      </c>
      <c r="F7" s="27" t="n">
        <v>2020</v>
      </c>
      <c r="G7" s="27" t="n">
        <v>2022</v>
      </c>
      <c r="H7" s="25" t="inlineStr">
        <is>
          <t>Alumni</t>
        </is>
      </c>
      <c r="I7" s="30" t="inlineStr">
        <is>
          <t>Medical Technology</t>
        </is>
      </c>
      <c r="J7" s="30" t="inlineStr">
        <is>
          <t>Faculty Board (IDRP / AIIMS-IIT Joint)</t>
        </is>
      </c>
      <c r="K7" s="30" t="inlineStr">
        <is>
          <t>m20id002@iitj.ac.in</t>
        </is>
      </c>
      <c r="L7" s="27" t="inlineStr">
        <is>
          <t>-</t>
        </is>
      </c>
      <c r="M7" s="27" t="n">
        <v>0</v>
      </c>
      <c r="N7" s="30" t="inlineStr">
        <is>
          <t>-</t>
        </is>
      </c>
      <c r="O7" s="27" t="n">
        <v>0</v>
      </c>
      <c r="P7" s="30" t="inlineStr">
        <is>
          <t>-</t>
        </is>
      </c>
      <c r="Q7" s="27" t="n">
        <v>0</v>
      </c>
      <c r="R7" s="30" t="inlineStr">
        <is>
          <t>-</t>
        </is>
      </c>
      <c r="S7" s="27" t="n">
        <v>0</v>
      </c>
      <c r="T7" s="30" t="inlineStr">
        <is>
          <t>-</t>
        </is>
      </c>
      <c r="U7" s="27" t="inlineStr">
        <is>
          <t>-</t>
        </is>
      </c>
      <c r="V7" s="27" t="inlineStr">
        <is>
          <t>-</t>
        </is>
      </c>
      <c r="W7" s="30" t="inlineStr">
        <is>
          <t>Centre for Medical Technologies (IDRP)</t>
        </is>
      </c>
      <c r="X7" s="30" t="inlineStr">
        <is>
          <t>IIT Jodhpur Permanent Campus, NH 62, Karwar</t>
        </is>
      </c>
      <c r="Y7" s="27" t="inlineStr">
        <is>
          <t>Jodhpur</t>
        </is>
      </c>
      <c r="Z7" s="27" t="inlineStr">
        <is>
          <t>Rajasthan</t>
        </is>
      </c>
      <c r="AA7" s="27" t="inlineStr">
        <is>
          <t>342030</t>
        </is>
      </c>
      <c r="AB7" s="30" t="inlineStr">
        <is>
          <t>Official Cohort Registry (IIT Jodhpur MedTech Portal)</t>
        </is>
      </c>
    </row>
    <row r="8" ht="19" customHeight="1">
      <c r="A8" s="21" t="n">
        <v>3</v>
      </c>
      <c r="B8" s="22" t="inlineStr">
        <is>
          <t>M20ID004</t>
        </is>
      </c>
      <c r="C8" s="23" t="inlineStr">
        <is>
          <t>Mridul Sharma</t>
        </is>
      </c>
      <c r="D8" s="21" t="inlineStr">
        <is>
          <t>Masters</t>
        </is>
      </c>
      <c r="E8" s="24" t="inlineStr">
        <is>
          <t>M.Tech in Medical Technology</t>
        </is>
      </c>
      <c r="F8" s="21" t="n">
        <v>2020</v>
      </c>
      <c r="G8" s="21" t="n">
        <v>2022</v>
      </c>
      <c r="H8" s="25" t="inlineStr">
        <is>
          <t>Alumni</t>
        </is>
      </c>
      <c r="I8" s="24" t="inlineStr">
        <is>
          <t>Medical Technology</t>
        </is>
      </c>
      <c r="J8" s="24" t="inlineStr">
        <is>
          <t>Faculty Board (IDRP / AIIMS-IIT Joint)</t>
        </is>
      </c>
      <c r="K8" s="24" t="inlineStr">
        <is>
          <t>m20id004@iitj.ac.in</t>
        </is>
      </c>
      <c r="L8" s="21" t="inlineStr">
        <is>
          <t>-</t>
        </is>
      </c>
      <c r="M8" s="21" t="n">
        <v>0</v>
      </c>
      <c r="N8" s="24" t="inlineStr">
        <is>
          <t>-</t>
        </is>
      </c>
      <c r="O8" s="21" t="n">
        <v>0</v>
      </c>
      <c r="P8" s="24" t="inlineStr">
        <is>
          <t>-</t>
        </is>
      </c>
      <c r="Q8" s="21" t="n">
        <v>0</v>
      </c>
      <c r="R8" s="24" t="inlineStr">
        <is>
          <t>-</t>
        </is>
      </c>
      <c r="S8" s="21" t="n">
        <v>0</v>
      </c>
      <c r="T8" s="24" t="inlineStr">
        <is>
          <t>-</t>
        </is>
      </c>
      <c r="U8" s="21" t="inlineStr">
        <is>
          <t>-</t>
        </is>
      </c>
      <c r="V8" s="21" t="inlineStr">
        <is>
          <t>-</t>
        </is>
      </c>
      <c r="W8" s="24" t="inlineStr">
        <is>
          <t>Centre for Medical Technologies (IDRP)</t>
        </is>
      </c>
      <c r="X8" s="24" t="inlineStr">
        <is>
          <t>IIT Jodhpur Permanent Campus, NH 62, Karwar</t>
        </is>
      </c>
      <c r="Y8" s="21" t="inlineStr">
        <is>
          <t>Jodhpur</t>
        </is>
      </c>
      <c r="Z8" s="21" t="inlineStr">
        <is>
          <t>Rajasthan</t>
        </is>
      </c>
      <c r="AA8" s="21" t="inlineStr">
        <is>
          <t>342030</t>
        </is>
      </c>
      <c r="AB8" s="24" t="inlineStr">
        <is>
          <t>Official Cohort Registry (IIT Jodhpur MedTech Portal)</t>
        </is>
      </c>
    </row>
    <row r="9" ht="19" customHeight="1">
      <c r="A9" s="27" t="n">
        <v>4</v>
      </c>
      <c r="B9" s="28" t="inlineStr">
        <is>
          <t>M20ID005</t>
        </is>
      </c>
      <c r="C9" s="29" t="inlineStr">
        <is>
          <t>Shradha Suman Panda</t>
        </is>
      </c>
      <c r="D9" s="27" t="inlineStr">
        <is>
          <t>Masters</t>
        </is>
      </c>
      <c r="E9" s="30" t="inlineStr">
        <is>
          <t>M.Tech in Medical Technology</t>
        </is>
      </c>
      <c r="F9" s="27" t="n">
        <v>2020</v>
      </c>
      <c r="G9" s="27" t="n">
        <v>2022</v>
      </c>
      <c r="H9" s="25" t="inlineStr">
        <is>
          <t>Alumni</t>
        </is>
      </c>
      <c r="I9" s="30" t="inlineStr">
        <is>
          <t>Medical Technology</t>
        </is>
      </c>
      <c r="J9" s="30" t="inlineStr">
        <is>
          <t>Faculty Board (IDRP / AIIMS-IIT Joint)</t>
        </is>
      </c>
      <c r="K9" s="30" t="inlineStr">
        <is>
          <t>m20id005@iitj.ac.in</t>
        </is>
      </c>
      <c r="L9" s="27" t="inlineStr">
        <is>
          <t>-</t>
        </is>
      </c>
      <c r="M9" s="27" t="n">
        <v>0</v>
      </c>
      <c r="N9" s="30" t="inlineStr">
        <is>
          <t>-</t>
        </is>
      </c>
      <c r="O9" s="27" t="n">
        <v>0</v>
      </c>
      <c r="P9" s="30" t="inlineStr">
        <is>
          <t>-</t>
        </is>
      </c>
      <c r="Q9" s="27" t="n">
        <v>0</v>
      </c>
      <c r="R9" s="30" t="inlineStr">
        <is>
          <t>-</t>
        </is>
      </c>
      <c r="S9" s="27" t="n">
        <v>0</v>
      </c>
      <c r="T9" s="30" t="inlineStr">
        <is>
          <t>-</t>
        </is>
      </c>
      <c r="U9" s="27" t="inlineStr">
        <is>
          <t>-</t>
        </is>
      </c>
      <c r="V9" s="27" t="inlineStr">
        <is>
          <t>-</t>
        </is>
      </c>
      <c r="W9" s="30" t="inlineStr">
        <is>
          <t>Centre for Medical Technologies (IDRP)</t>
        </is>
      </c>
      <c r="X9" s="30" t="inlineStr">
        <is>
          <t>IIT Jodhpur Permanent Campus, NH 62, Karwar</t>
        </is>
      </c>
      <c r="Y9" s="27" t="inlineStr">
        <is>
          <t>Jodhpur</t>
        </is>
      </c>
      <c r="Z9" s="27" t="inlineStr">
        <is>
          <t>Rajasthan</t>
        </is>
      </c>
      <c r="AA9" s="27" t="inlineStr">
        <is>
          <t>342030</t>
        </is>
      </c>
      <c r="AB9" s="30" t="inlineStr">
        <is>
          <t>Official Cohort Registry (IIT Jodhpur MedTech Portal)</t>
        </is>
      </c>
    </row>
    <row r="10" ht="19" customHeight="1">
      <c r="A10" s="21" t="n">
        <v>5</v>
      </c>
      <c r="B10" s="22" t="inlineStr">
        <is>
          <t>M20ID008</t>
        </is>
      </c>
      <c r="C10" s="23" t="inlineStr">
        <is>
          <t>Thilak Chakaravarthi E</t>
        </is>
      </c>
      <c r="D10" s="21" t="inlineStr">
        <is>
          <t>Masters</t>
        </is>
      </c>
      <c r="E10" s="24" t="inlineStr">
        <is>
          <t>M.Tech in Medical Technology</t>
        </is>
      </c>
      <c r="F10" s="21" t="n">
        <v>2020</v>
      </c>
      <c r="G10" s="21" t="n">
        <v>2022</v>
      </c>
      <c r="H10" s="25" t="inlineStr">
        <is>
          <t>Alumni</t>
        </is>
      </c>
      <c r="I10" s="24" t="inlineStr">
        <is>
          <t>Electromechanical Cartilage Reshaping &amp; Bio-MEMS</t>
        </is>
      </c>
      <c r="J10" s="24" t="inlineStr">
        <is>
          <t>Prof. Ajay Agarwal (IIT Jodhpur)</t>
        </is>
      </c>
      <c r="K10" s="24" t="inlineStr">
        <is>
          <t>m20id008@iitj.ac.in</t>
        </is>
      </c>
      <c r="L10" s="21" t="inlineStr">
        <is>
          <t>-</t>
        </is>
      </c>
      <c r="M10" s="21" t="n">
        <v>0</v>
      </c>
      <c r="N10" s="24" t="inlineStr">
        <is>
          <t>-</t>
        </is>
      </c>
      <c r="O10" s="21" t="n">
        <v>0</v>
      </c>
      <c r="P10" s="24" t="inlineStr">
        <is>
          <t>-</t>
        </is>
      </c>
      <c r="Q10" s="21" t="n">
        <v>1</v>
      </c>
      <c r="R10" s="24" t="inlineStr">
        <is>
          <t>Caldor Health Technologies Pvt. Ltd. (Co-Founder)</t>
        </is>
      </c>
      <c r="S10" s="21" t="n">
        <v>2</v>
      </c>
      <c r="T10" s="24" t="inlineStr">
        <is>
          <t>US$100,000 raised for SWASAM ; MSME grant</t>
        </is>
      </c>
      <c r="U10" s="21" t="inlineStr">
        <is>
          <t>-</t>
        </is>
      </c>
      <c r="V10" s="21" t="inlineStr">
        <is>
          <t>-</t>
        </is>
      </c>
      <c r="W10" s="24" t="inlineStr">
        <is>
          <t>Centre for Medical Technologies (IDRP)</t>
        </is>
      </c>
      <c r="X10" s="24" t="inlineStr">
        <is>
          <t>IIT Jodhpur Permanent Campus, NH 62, Karwar</t>
        </is>
      </c>
      <c r="Y10" s="21" t="inlineStr">
        <is>
          <t>Jodhpur</t>
        </is>
      </c>
      <c r="Z10" s="21" t="inlineStr">
        <is>
          <t>Rajasthan</t>
        </is>
      </c>
      <c r="AA10" s="21" t="inlineStr">
        <is>
          <t>342030</t>
        </is>
      </c>
      <c r="AB10" s="24" t="inlineStr">
        <is>
          <t>Official Cohort Registry (IIT Jodhpur MedTech Portal)</t>
        </is>
      </c>
    </row>
    <row r="11" ht="19" customHeight="1">
      <c r="A11" s="27" t="n">
        <v>6</v>
      </c>
      <c r="B11" s="28" t="inlineStr">
        <is>
          <t>M20ID009</t>
        </is>
      </c>
      <c r="C11" s="29" t="inlineStr">
        <is>
          <t>Rajshree</t>
        </is>
      </c>
      <c r="D11" s="27" t="inlineStr">
        <is>
          <t>Masters</t>
        </is>
      </c>
      <c r="E11" s="30" t="inlineStr">
        <is>
          <t>M.Tech in Medical Technology</t>
        </is>
      </c>
      <c r="F11" s="27" t="n">
        <v>2020</v>
      </c>
      <c r="G11" s="27" t="n">
        <v>2022</v>
      </c>
      <c r="H11" s="25" t="inlineStr">
        <is>
          <t>Alumni</t>
        </is>
      </c>
      <c r="I11" s="30" t="inlineStr">
        <is>
          <t>Medical Technology</t>
        </is>
      </c>
      <c r="J11" s="30" t="inlineStr">
        <is>
          <t>Faculty Board (IDRP / AIIMS-IIT Joint)</t>
        </is>
      </c>
      <c r="K11" s="30" t="inlineStr">
        <is>
          <t>m20id009@iitj.ac.in</t>
        </is>
      </c>
      <c r="L11" s="27" t="inlineStr">
        <is>
          <t>-</t>
        </is>
      </c>
      <c r="M11" s="27" t="n">
        <v>0</v>
      </c>
      <c r="N11" s="30" t="inlineStr">
        <is>
          <t>-</t>
        </is>
      </c>
      <c r="O11" s="27" t="n">
        <v>0</v>
      </c>
      <c r="P11" s="30" t="inlineStr">
        <is>
          <t>-</t>
        </is>
      </c>
      <c r="Q11" s="27" t="n">
        <v>0</v>
      </c>
      <c r="R11" s="30" t="inlineStr">
        <is>
          <t>-</t>
        </is>
      </c>
      <c r="S11" s="27" t="n">
        <v>0</v>
      </c>
      <c r="T11" s="30" t="inlineStr">
        <is>
          <t>-</t>
        </is>
      </c>
      <c r="U11" s="27" t="inlineStr">
        <is>
          <t>-</t>
        </is>
      </c>
      <c r="V11" s="27" t="inlineStr">
        <is>
          <t>-</t>
        </is>
      </c>
      <c r="W11" s="30" t="inlineStr">
        <is>
          <t>Centre for Medical Technologies (IDRP)</t>
        </is>
      </c>
      <c r="X11" s="30" t="inlineStr">
        <is>
          <t>IIT Jodhpur Permanent Campus, NH 62, Karwar</t>
        </is>
      </c>
      <c r="Y11" s="27" t="inlineStr">
        <is>
          <t>Jodhpur</t>
        </is>
      </c>
      <c r="Z11" s="27" t="inlineStr">
        <is>
          <t>Rajasthan</t>
        </is>
      </c>
      <c r="AA11" s="27" t="inlineStr">
        <is>
          <t>342030</t>
        </is>
      </c>
      <c r="AB11" s="30" t="inlineStr">
        <is>
          <t>Official Cohort Registry (IIT Jodhpur MedTech Portal)</t>
        </is>
      </c>
    </row>
    <row r="12" ht="19" customHeight="1">
      <c r="A12" s="21" t="n">
        <v>7</v>
      </c>
      <c r="B12" s="22" t="inlineStr">
        <is>
          <t>P20ID002</t>
        </is>
      </c>
      <c r="C12" s="23" t="inlineStr">
        <is>
          <t>Kanika Singroha</t>
        </is>
      </c>
      <c r="D12" s="21" t="inlineStr">
        <is>
          <t>PhD</t>
        </is>
      </c>
      <c r="E12" s="24" t="inlineStr">
        <is>
          <t>Ph.D. in Medical Technology</t>
        </is>
      </c>
      <c r="F12" s="21" t="n">
        <v>2020</v>
      </c>
      <c r="G12" s="21" t="n">
        <v>2025</v>
      </c>
      <c r="H12" s="25" t="inlineStr">
        <is>
          <t>Alumni</t>
        </is>
      </c>
      <c r="I12" s="24" t="inlineStr">
        <is>
          <t>3D Bioprinting, Modular Bioinks &amp; Regenerative Medicine</t>
        </is>
      </c>
      <c r="J12" s="24" t="inlineStr">
        <is>
          <t>Dr. Indranil Banerjee (IIT Jodhpur) &amp; Dr. Shilpi Gupta Dixit (AIIMS Jodhpur)</t>
        </is>
      </c>
      <c r="K12" s="24" t="inlineStr">
        <is>
          <t>p20id002@iitj.ac.in</t>
        </is>
      </c>
      <c r="L12" s="21" t="inlineStr">
        <is>
          <t>-</t>
        </is>
      </c>
      <c r="M12" s="21" t="n">
        <v>0</v>
      </c>
      <c r="N12" s="24" t="inlineStr">
        <is>
          <t>-</t>
        </is>
      </c>
      <c r="O12" s="21" t="n">
        <v>1</v>
      </c>
      <c r="P12" s="24" t="inlineStr">
        <is>
          <t>App #202511037139: Quadruple High-Performance Modular Bioink for 3D Bioprinting (Filed) | Apps 202511037139, 202511037986: 3D Bioprinting Quadruple Modular Bioink &amp; Cell Suspensor</t>
        </is>
      </c>
      <c r="Q12" s="21" t="n">
        <v>1</v>
      </c>
      <c r="R12" s="24" t="inlineStr">
        <is>
          <t>Cellverse Pvt. Ltd. (Co-Founder, Incubated) | Cellverse Pvt. Ltd. (Director &amp; Co-Founder)</t>
        </is>
      </c>
      <c r="S12" s="21" t="n">
        <v>1</v>
      </c>
      <c r="T12" s="24" t="inlineStr">
        <is>
          <t>Recognition of Excellence in Young Alumni Award</t>
        </is>
      </c>
      <c r="U12" s="21" t="inlineStr">
        <is>
          <t>-</t>
        </is>
      </c>
      <c r="V12" s="21" t="inlineStr">
        <is>
          <t>-</t>
        </is>
      </c>
      <c r="W12" s="24" t="inlineStr">
        <is>
          <t>Centre for Medical Technologies (IDRP)</t>
        </is>
      </c>
      <c r="X12" s="24" t="inlineStr">
        <is>
          <t>IIT Jodhpur Permanent Campus, NH 62, Karwar</t>
        </is>
      </c>
      <c r="Y12" s="21" t="inlineStr">
        <is>
          <t>Jodhpur</t>
        </is>
      </c>
      <c r="Z12" s="21" t="inlineStr">
        <is>
          <t>Rajasthan</t>
        </is>
      </c>
      <c r="AA12" s="21" t="inlineStr">
        <is>
          <t>342030</t>
        </is>
      </c>
      <c r="AB12" s="24" t="inlineStr">
        <is>
          <t>Official Cohort Registry (IIT Jodhpur MedTech Portal)</t>
        </is>
      </c>
    </row>
    <row r="13" ht="19" customHeight="1">
      <c r="A13" s="27" t="n">
        <v>8</v>
      </c>
      <c r="B13" s="28" t="inlineStr">
        <is>
          <t>P20ID003</t>
        </is>
      </c>
      <c r="C13" s="29" t="inlineStr">
        <is>
          <t>Dushyant Agrawal</t>
        </is>
      </c>
      <c r="D13" s="27" t="inlineStr">
        <is>
          <t>PhD</t>
        </is>
      </c>
      <c r="E13" s="30" t="inlineStr">
        <is>
          <t>Ph.D. in Medical Technology</t>
        </is>
      </c>
      <c r="F13" s="27" t="n">
        <v>2020</v>
      </c>
      <c r="G13" s="27" t="n">
        <v>2025</v>
      </c>
      <c r="H13" s="25" t="inlineStr">
        <is>
          <t>Alumni</t>
        </is>
      </c>
      <c r="I13" s="30" t="inlineStr">
        <is>
          <t>Medical Technology</t>
        </is>
      </c>
      <c r="J13" s="30" t="inlineStr">
        <is>
          <t>Faculty Board (IDRP / AIIMS-IIT Joint)</t>
        </is>
      </c>
      <c r="K13" s="30" t="inlineStr">
        <is>
          <t>p20id003@iitj.ac.in</t>
        </is>
      </c>
      <c r="L13" s="27" t="inlineStr">
        <is>
          <t>-</t>
        </is>
      </c>
      <c r="M13" s="27" t="n">
        <v>0</v>
      </c>
      <c r="N13" s="30" t="inlineStr">
        <is>
          <t>-</t>
        </is>
      </c>
      <c r="O13" s="27" t="n">
        <v>0</v>
      </c>
      <c r="P13" s="30" t="inlineStr">
        <is>
          <t>-</t>
        </is>
      </c>
      <c r="Q13" s="27" t="n">
        <v>0</v>
      </c>
      <c r="R13" s="30" t="inlineStr">
        <is>
          <t>-</t>
        </is>
      </c>
      <c r="S13" s="27" t="n">
        <v>0</v>
      </c>
      <c r="T13" s="30" t="inlineStr">
        <is>
          <t>-</t>
        </is>
      </c>
      <c r="U13" s="27" t="inlineStr">
        <is>
          <t>-</t>
        </is>
      </c>
      <c r="V13" s="27" t="inlineStr">
        <is>
          <t>-</t>
        </is>
      </c>
      <c r="W13" s="30" t="inlineStr">
        <is>
          <t>Centre for Medical Technologies (IDRP)</t>
        </is>
      </c>
      <c r="X13" s="30" t="inlineStr">
        <is>
          <t>IIT Jodhpur Permanent Campus, NH 62, Karwar</t>
        </is>
      </c>
      <c r="Y13" s="27" t="inlineStr">
        <is>
          <t>Jodhpur</t>
        </is>
      </c>
      <c r="Z13" s="27" t="inlineStr">
        <is>
          <t>Rajasthan</t>
        </is>
      </c>
      <c r="AA13" s="27" t="inlineStr">
        <is>
          <t>342030</t>
        </is>
      </c>
      <c r="AB13" s="30" t="inlineStr">
        <is>
          <t>Official Cohort Registry (IIT Jodhpur MedTech Portal)</t>
        </is>
      </c>
    </row>
    <row r="14" ht="19" customHeight="1">
      <c r="A14" s="21" t="n">
        <v>9</v>
      </c>
      <c r="B14" s="22" t="inlineStr">
        <is>
          <t>P20ID004</t>
        </is>
      </c>
      <c r="C14" s="23" t="inlineStr">
        <is>
          <t>Gajendra Singh</t>
        </is>
      </c>
      <c r="D14" s="21" t="inlineStr">
        <is>
          <t>PhD</t>
        </is>
      </c>
      <c r="E14" s="24" t="inlineStr">
        <is>
          <t>Ph.D. in Medical Technology</t>
        </is>
      </c>
      <c r="F14" s="21" t="n">
        <v>2020</v>
      </c>
      <c r="G14" s="21" t="n">
        <v>2025</v>
      </c>
      <c r="H14" s="25" t="inlineStr">
        <is>
          <t>Alumni</t>
        </is>
      </c>
      <c r="I14" s="24" t="inlineStr">
        <is>
          <t>Medical Robotics, AI Echocardiography &amp; Multimodal Data Sync</t>
        </is>
      </c>
      <c r="J14" s="24" t="inlineStr">
        <is>
          <t>Dr. Deepak Mishra (IIT Jodhpur) &amp; Dr. Pushpinder Khera (AIIMS Jodhpur)</t>
        </is>
      </c>
      <c r="K14" s="24" t="inlineStr">
        <is>
          <t>singh.117@iitj.ac.in</t>
        </is>
      </c>
      <c r="L14" s="21" t="inlineStr">
        <is>
          <t>-</t>
        </is>
      </c>
      <c r="M14" s="21" t="n">
        <v>3</v>
      </c>
      <c r="N14" s="24" t="inlineStr">
        <is>
          <t>1 Journals, 2 Conferences, 0 Books. Venues: 1. IEEE Sensor Letters
2. ASMUS MICCAI 2025
3. IEEE SAUS 2024 (First Author) | Paper: "Deep Learning-Driven Multimodal Synchronization for Probe-Navigated Echocardiography" | Paper: "ASMUS: Real-Time Point-of-Care Ultrasound Guidance via Multitask Acoustic Transformer" | Paper: "Acoustic Signal Processing and Robot Teleoperation for Pediatric Cardiac Ultrasound"</t>
        </is>
      </c>
      <c r="O14" s="21" t="n">
        <v>2</v>
      </c>
      <c r="P14" s="24" t="inlineStr">
        <is>
          <t>App #202211077085: System and Method for Robot Assisted Echocardiography (Published) | App #202411058458: System for Multimodal Data Acquisition and Synchronization and Method Thereof (Published) | Apps 202211077085, 202411058458, 202511040403: Robot Assisted Echocardiography &amp; Multimodal Data Sync</t>
        </is>
      </c>
      <c r="Q14" s="21" t="n">
        <v>1</v>
      </c>
      <c r="R14" s="24" t="inlineStr">
        <is>
          <t>Visionence Tech Pvt. Ltd. (Co-Founder, Incubated) | Visionence Tech Pvt. Ltd. (Director &amp; Co-Founder)</t>
        </is>
      </c>
      <c r="S14" s="21" t="n">
        <v>1</v>
      </c>
      <c r="T14" s="24" t="inlineStr">
        <is>
          <t>Patent granted</t>
        </is>
      </c>
      <c r="U14" s="21" t="inlineStr">
        <is>
          <t>-</t>
        </is>
      </c>
      <c r="V14" s="21" t="inlineStr">
        <is>
          <t>-</t>
        </is>
      </c>
      <c r="W14" s="24" t="inlineStr">
        <is>
          <t>Centre for Medical Technologies (IDRP)</t>
        </is>
      </c>
      <c r="X14" s="24" t="inlineStr">
        <is>
          <t>IIT Jodhpur Permanent Campus, NH 62, Karwar</t>
        </is>
      </c>
      <c r="Y14" s="21" t="inlineStr">
        <is>
          <t>Jodhpur</t>
        </is>
      </c>
      <c r="Z14" s="21" t="inlineStr">
        <is>
          <t>Rajasthan</t>
        </is>
      </c>
      <c r="AA14" s="21" t="inlineStr">
        <is>
          <t>342030</t>
        </is>
      </c>
      <c r="AB14" s="24" t="inlineStr">
        <is>
          <t>Official Cohort Registry (IIT Jodhpur MedTech Portal)</t>
        </is>
      </c>
    </row>
    <row r="15" ht="19" customHeight="1">
      <c r="A15" s="27" t="n">
        <v>10</v>
      </c>
      <c r="B15" s="28" t="inlineStr">
        <is>
          <t>P20ID005</t>
        </is>
      </c>
      <c r="C15" s="29" t="inlineStr">
        <is>
          <t>Mitanshu Sharma</t>
        </is>
      </c>
      <c r="D15" s="27" t="inlineStr">
        <is>
          <t>PhD</t>
        </is>
      </c>
      <c r="E15" s="30" t="inlineStr">
        <is>
          <t>Ph.D. in Medical Technology</t>
        </is>
      </c>
      <c r="F15" s="27" t="n">
        <v>2020</v>
      </c>
      <c r="G15" s="27" t="n">
        <v>2025</v>
      </c>
      <c r="H15" s="25" t="inlineStr">
        <is>
          <t>Alumni</t>
        </is>
      </c>
      <c r="I15" s="30" t="inlineStr">
        <is>
          <t>Assistive Critical Care &amp; Pressure Ulcer Prevention</t>
        </is>
      </c>
      <c r="J15" s="30" t="inlineStr">
        <is>
          <t>Dr. Shobhana Singh (IIT Jodhpur) &amp; Dr. Nikhil Kothari (AIIMS Jodhpur)</t>
        </is>
      </c>
      <c r="K15" s="30" t="inlineStr">
        <is>
          <t>p20id005@iitj.ac.in</t>
        </is>
      </c>
      <c r="L15" s="27" t="inlineStr">
        <is>
          <t>-</t>
        </is>
      </c>
      <c r="M15" s="27" t="n">
        <v>0</v>
      </c>
      <c r="N15" s="30" t="inlineStr">
        <is>
          <t>-</t>
        </is>
      </c>
      <c r="O15" s="27" t="n">
        <v>1</v>
      </c>
      <c r="P15" s="30" t="inlineStr">
        <is>
          <t>App #202211060577: Pressure Ulcers or Bed Sores Preventing Air Bubble Based Mattress (Published) | App 202211060577: Pressure Ulcers / Bed Sores Preventing Air Bubble Mattress</t>
        </is>
      </c>
      <c r="Q15" s="27" t="n">
        <v>0</v>
      </c>
      <c r="R15" s="30" t="inlineStr">
        <is>
          <t>-</t>
        </is>
      </c>
      <c r="S15" s="27" t="n">
        <v>0</v>
      </c>
      <c r="T15" s="30" t="inlineStr">
        <is>
          <t>-</t>
        </is>
      </c>
      <c r="U15" s="27" t="inlineStr">
        <is>
          <t>-</t>
        </is>
      </c>
      <c r="V15" s="27" t="inlineStr">
        <is>
          <t>-</t>
        </is>
      </c>
      <c r="W15" s="30" t="inlineStr">
        <is>
          <t>Centre for Medical Technologies (IDRP)</t>
        </is>
      </c>
      <c r="X15" s="30" t="inlineStr">
        <is>
          <t>IIT Jodhpur Permanent Campus, NH 62, Karwar</t>
        </is>
      </c>
      <c r="Y15" s="27" t="inlineStr">
        <is>
          <t>Jodhpur</t>
        </is>
      </c>
      <c r="Z15" s="27" t="inlineStr">
        <is>
          <t>Rajasthan</t>
        </is>
      </c>
      <c r="AA15" s="27" t="inlineStr">
        <is>
          <t>342030</t>
        </is>
      </c>
      <c r="AB15" s="30" t="inlineStr">
        <is>
          <t>Official Cohort Registry (IIT Jodhpur MedTech Portal)</t>
        </is>
      </c>
    </row>
    <row r="16" ht="19" customHeight="1">
      <c r="A16" s="21" t="n">
        <v>11</v>
      </c>
      <c r="B16" s="22" t="inlineStr">
        <is>
          <t>P20ID006</t>
        </is>
      </c>
      <c r="C16" s="23" t="inlineStr">
        <is>
          <t>Monika Sharma</t>
        </is>
      </c>
      <c r="D16" s="21" t="inlineStr">
        <is>
          <t>PhD</t>
        </is>
      </c>
      <c r="E16" s="24" t="inlineStr">
        <is>
          <t>Ph.D. in Medical Technology</t>
        </is>
      </c>
      <c r="F16" s="21" t="n">
        <v>2020</v>
      </c>
      <c r="G16" s="21" t="n">
        <v>2025</v>
      </c>
      <c r="H16" s="25" t="inlineStr">
        <is>
          <t>Alumni</t>
        </is>
      </c>
      <c r="I16" s="24" t="inlineStr">
        <is>
          <t>Neuromuscular Assessment &amp; Force-Sensor Biomechanics</t>
        </is>
      </c>
      <c r="J16" s="24" t="inlineStr">
        <is>
          <t>Dr. Pankaj Yadav (IIT Jodhpur)</t>
        </is>
      </c>
      <c r="K16" s="24" t="inlineStr">
        <is>
          <t>p20id006@iitj.ac.in</t>
        </is>
      </c>
      <c r="L16" s="21" t="inlineStr">
        <is>
          <t>-</t>
        </is>
      </c>
      <c r="M16" s="21" t="n">
        <v>0</v>
      </c>
      <c r="N16" s="24" t="inlineStr">
        <is>
          <t>-</t>
        </is>
      </c>
      <c r="O16" s="21" t="n">
        <v>1</v>
      </c>
      <c r="P16" s="24" t="inlineStr">
        <is>
          <t>App 202511106532: Force-Sensor-Based Tapping Device for Neuromuscular Assessment</t>
        </is>
      </c>
      <c r="Q16" s="21" t="n">
        <v>0</v>
      </c>
      <c r="R16" s="24" t="inlineStr">
        <is>
          <t>-</t>
        </is>
      </c>
      <c r="S16" s="21" t="n">
        <v>1</v>
      </c>
      <c r="T16" s="24" t="inlineStr">
        <is>
          <t>IBRO Exchange Fellowship 2026</t>
        </is>
      </c>
      <c r="U16" s="21" t="inlineStr">
        <is>
          <t>-</t>
        </is>
      </c>
      <c r="V16" s="21" t="inlineStr">
        <is>
          <t>-</t>
        </is>
      </c>
      <c r="W16" s="24" t="inlineStr">
        <is>
          <t>Centre for Medical Technologies (IDRP)</t>
        </is>
      </c>
      <c r="X16" s="24" t="inlineStr">
        <is>
          <t>IIT Jodhpur Permanent Campus, NH 62, Karwar</t>
        </is>
      </c>
      <c r="Y16" s="21" t="inlineStr">
        <is>
          <t>Jodhpur</t>
        </is>
      </c>
      <c r="Z16" s="21" t="inlineStr">
        <is>
          <t>Rajasthan</t>
        </is>
      </c>
      <c r="AA16" s="21" t="inlineStr">
        <is>
          <t>342030</t>
        </is>
      </c>
      <c r="AB16" s="24" t="inlineStr">
        <is>
          <t>Official Cohort Registry (IIT Jodhpur MedTech Portal)</t>
        </is>
      </c>
    </row>
    <row r="17" ht="19" customHeight="1">
      <c r="A17" s="27" t="n">
        <v>12</v>
      </c>
      <c r="B17" s="28" t="inlineStr">
        <is>
          <t>P20ID007</t>
        </is>
      </c>
      <c r="C17" s="29" t="inlineStr">
        <is>
          <t>Om Lata Bhagat</t>
        </is>
      </c>
      <c r="D17" s="27" t="inlineStr">
        <is>
          <t>PhD</t>
        </is>
      </c>
      <c r="E17" s="30" t="inlineStr">
        <is>
          <t>Ph.D. in Medical Technology</t>
        </is>
      </c>
      <c r="F17" s="27" t="n">
        <v>2020</v>
      </c>
      <c r="G17" s="27" t="n">
        <v>2025</v>
      </c>
      <c r="H17" s="25" t="inlineStr">
        <is>
          <t>Alumni</t>
        </is>
      </c>
      <c r="I17" s="30" t="inlineStr">
        <is>
          <t>Medical Technology</t>
        </is>
      </c>
      <c r="J17" s="30" t="inlineStr">
        <is>
          <t>Faculty Board (IDRP / AIIMS-IIT Joint)</t>
        </is>
      </c>
      <c r="K17" s="30" t="inlineStr">
        <is>
          <t>p20id007@iitj.ac.in</t>
        </is>
      </c>
      <c r="L17" s="27" t="inlineStr">
        <is>
          <t>-</t>
        </is>
      </c>
      <c r="M17" s="27" t="n">
        <v>0</v>
      </c>
      <c r="N17" s="30" t="inlineStr">
        <is>
          <t>-</t>
        </is>
      </c>
      <c r="O17" s="27" t="n">
        <v>0</v>
      </c>
      <c r="P17" s="30" t="inlineStr">
        <is>
          <t>-</t>
        </is>
      </c>
      <c r="Q17" s="27" t="n">
        <v>0</v>
      </c>
      <c r="R17" s="30" t="inlineStr">
        <is>
          <t>-</t>
        </is>
      </c>
      <c r="S17" s="27" t="n">
        <v>0</v>
      </c>
      <c r="T17" s="30" t="inlineStr">
        <is>
          <t>-</t>
        </is>
      </c>
      <c r="U17" s="27" t="inlineStr">
        <is>
          <t>-</t>
        </is>
      </c>
      <c r="V17" s="27" t="inlineStr">
        <is>
          <t>-</t>
        </is>
      </c>
      <c r="W17" s="30" t="inlineStr">
        <is>
          <t>Centre for Medical Technologies (IDRP)</t>
        </is>
      </c>
      <c r="X17" s="30" t="inlineStr">
        <is>
          <t>IIT Jodhpur Permanent Campus, NH 62, Karwar</t>
        </is>
      </c>
      <c r="Y17" s="27" t="inlineStr">
        <is>
          <t>Jodhpur</t>
        </is>
      </c>
      <c r="Z17" s="27" t="inlineStr">
        <is>
          <t>Rajasthan</t>
        </is>
      </c>
      <c r="AA17" s="27" t="inlineStr">
        <is>
          <t>342030</t>
        </is>
      </c>
      <c r="AB17" s="30" t="inlineStr">
        <is>
          <t>Official Cohort Registry (IIT Jodhpur MedTech Portal)</t>
        </is>
      </c>
    </row>
    <row r="18" ht="19" customHeight="1">
      <c r="A18" s="21" t="n">
        <v>13</v>
      </c>
      <c r="B18" s="22" t="inlineStr">
        <is>
          <t>P20ID009</t>
        </is>
      </c>
      <c r="C18" s="23" t="inlineStr">
        <is>
          <t>Sakshi Malik</t>
        </is>
      </c>
      <c r="D18" s="21" t="inlineStr">
        <is>
          <t>PhD</t>
        </is>
      </c>
      <c r="E18" s="24" t="inlineStr">
        <is>
          <t>Ph.D. in Medical Technology</t>
        </is>
      </c>
      <c r="F18" s="21" t="n">
        <v>2020</v>
      </c>
      <c r="G18" s="21" t="n">
        <v>2025</v>
      </c>
      <c r="H18" s="25" t="inlineStr">
        <is>
          <t>Alumni</t>
        </is>
      </c>
      <c r="I18" s="24" t="inlineStr">
        <is>
          <t>Medical Technology</t>
        </is>
      </c>
      <c r="J18" s="24" t="inlineStr">
        <is>
          <t>Faculty Board (IDRP / AIIMS-IIT Joint)</t>
        </is>
      </c>
      <c r="K18" s="24" t="inlineStr">
        <is>
          <t>p20id009@iitj.ac.in</t>
        </is>
      </c>
      <c r="L18" s="21" t="inlineStr">
        <is>
          <t>-</t>
        </is>
      </c>
      <c r="M18" s="21" t="n">
        <v>0</v>
      </c>
      <c r="N18" s="24" t="inlineStr">
        <is>
          <t>-</t>
        </is>
      </c>
      <c r="O18" s="21" t="n">
        <v>0</v>
      </c>
      <c r="P18" s="24" t="inlineStr">
        <is>
          <t>-</t>
        </is>
      </c>
      <c r="Q18" s="21" t="n">
        <v>0</v>
      </c>
      <c r="R18" s="24" t="inlineStr">
        <is>
          <t>-</t>
        </is>
      </c>
      <c r="S18" s="21" t="n">
        <v>0</v>
      </c>
      <c r="T18" s="24" t="inlineStr">
        <is>
          <t>-</t>
        </is>
      </c>
      <c r="U18" s="21" t="inlineStr">
        <is>
          <t>-</t>
        </is>
      </c>
      <c r="V18" s="21" t="inlineStr">
        <is>
          <t>-</t>
        </is>
      </c>
      <c r="W18" s="24" t="inlineStr">
        <is>
          <t>Centre for Medical Technologies (IDRP)</t>
        </is>
      </c>
      <c r="X18" s="24" t="inlineStr">
        <is>
          <t>IIT Jodhpur Permanent Campus, NH 62, Karwar</t>
        </is>
      </c>
      <c r="Y18" s="21" t="inlineStr">
        <is>
          <t>Jodhpur</t>
        </is>
      </c>
      <c r="Z18" s="21" t="inlineStr">
        <is>
          <t>Rajasthan</t>
        </is>
      </c>
      <c r="AA18" s="21" t="inlineStr">
        <is>
          <t>342030</t>
        </is>
      </c>
      <c r="AB18" s="24" t="inlineStr">
        <is>
          <t>Official Cohort Registry (IIT Jodhpur MedTech Portal)</t>
        </is>
      </c>
    </row>
    <row r="19" ht="19" customHeight="1">
      <c r="A19" s="27" t="n">
        <v>14</v>
      </c>
      <c r="B19" s="28" t="inlineStr">
        <is>
          <t>P20ID010</t>
        </is>
      </c>
      <c r="C19" s="29" t="inlineStr">
        <is>
          <t>Sudesh Pachar</t>
        </is>
      </c>
      <c r="D19" s="27" t="inlineStr">
        <is>
          <t>PhD</t>
        </is>
      </c>
      <c r="E19" s="30" t="inlineStr">
        <is>
          <t>Ph.D. in Medical Technology</t>
        </is>
      </c>
      <c r="F19" s="27" t="n">
        <v>2020</v>
      </c>
      <c r="G19" s="27" t="n">
        <v>2025</v>
      </c>
      <c r="H19" s="25" t="inlineStr">
        <is>
          <t>Alumni</t>
        </is>
      </c>
      <c r="I19" s="30" t="inlineStr">
        <is>
          <t>Medical Technology</t>
        </is>
      </c>
      <c r="J19" s="30" t="inlineStr">
        <is>
          <t>Faculty Board (IDRP / AIIMS-IIT Joint)</t>
        </is>
      </c>
      <c r="K19" s="30" t="inlineStr">
        <is>
          <t>p20id010@iitj.ac.in</t>
        </is>
      </c>
      <c r="L19" s="27" t="inlineStr">
        <is>
          <t>-</t>
        </is>
      </c>
      <c r="M19" s="27" t="n">
        <v>0</v>
      </c>
      <c r="N19" s="30" t="inlineStr">
        <is>
          <t>-</t>
        </is>
      </c>
      <c r="O19" s="27" t="n">
        <v>0</v>
      </c>
      <c r="P19" s="30" t="inlineStr">
        <is>
          <t>-</t>
        </is>
      </c>
      <c r="Q19" s="27" t="n">
        <v>0</v>
      </c>
      <c r="R19" s="30" t="inlineStr">
        <is>
          <t>-</t>
        </is>
      </c>
      <c r="S19" s="27" t="n">
        <v>0</v>
      </c>
      <c r="T19" s="30" t="inlineStr">
        <is>
          <t>-</t>
        </is>
      </c>
      <c r="U19" s="27" t="inlineStr">
        <is>
          <t>-</t>
        </is>
      </c>
      <c r="V19" s="27" t="inlineStr">
        <is>
          <t>-</t>
        </is>
      </c>
      <c r="W19" s="30" t="inlineStr">
        <is>
          <t>Centre for Medical Technologies (IDRP)</t>
        </is>
      </c>
      <c r="X19" s="30" t="inlineStr">
        <is>
          <t>IIT Jodhpur Permanent Campus, NH 62, Karwar</t>
        </is>
      </c>
      <c r="Y19" s="27" t="inlineStr">
        <is>
          <t>Jodhpur</t>
        </is>
      </c>
      <c r="Z19" s="27" t="inlineStr">
        <is>
          <t>Rajasthan</t>
        </is>
      </c>
      <c r="AA19" s="27" t="inlineStr">
        <is>
          <t>342030</t>
        </is>
      </c>
      <c r="AB19" s="30" t="inlineStr">
        <is>
          <t>Official Cohort Registry (IIT Jodhpur MedTech Portal)</t>
        </is>
      </c>
    </row>
    <row r="20" ht="19" customHeight="1">
      <c r="A20" s="21" t="n">
        <v>15</v>
      </c>
      <c r="B20" s="22" t="inlineStr">
        <is>
          <t>P20SH002</t>
        </is>
      </c>
      <c r="C20" s="23" t="inlineStr">
        <is>
          <t>Netra Kirankumar Hiremath</t>
        </is>
      </c>
      <c r="D20" s="21" t="inlineStr">
        <is>
          <t>PhD</t>
        </is>
      </c>
      <c r="E20" s="24" t="inlineStr">
        <is>
          <t>Ph.D. in Medical Technology</t>
        </is>
      </c>
      <c r="F20" s="21" t="n">
        <v>2020</v>
      </c>
      <c r="G20" s="21" t="n">
        <v>2025</v>
      </c>
      <c r="H20" s="31" t="inlineStr">
        <is>
          <t>Active</t>
        </is>
      </c>
      <c r="I20" s="24" t="inlineStr">
        <is>
          <t>Nanomedicine &amp; Biomaterials Science</t>
        </is>
      </c>
      <c r="J20" s="24" t="inlineStr">
        <is>
          <t>Faculty Board (IDRP / School of Health)</t>
        </is>
      </c>
      <c r="K20" s="24" t="inlineStr">
        <is>
          <t>hiremath.1@iitj.ac.in</t>
        </is>
      </c>
      <c r="L20" s="21" t="inlineStr">
        <is>
          <t>+91 97840 55667</t>
        </is>
      </c>
      <c r="M20" s="21" t="n">
        <v>6</v>
      </c>
      <c r="N20" s="24" t="inlineStr">
        <is>
          <t>6 Journals, 0 Conferences, 0 Books. Venues: 1. ACS Applied Nano Materials (2 publications)
2. Biomaterials Science (2 publications)
3. Nanoscale
4. ChemMedChem (Co-Author)</t>
        </is>
      </c>
      <c r="O20" s="21" t="n">
        <v>0</v>
      </c>
      <c r="P20" s="24" t="inlineStr">
        <is>
          <t>-</t>
        </is>
      </c>
      <c r="Q20" s="21" t="n">
        <v>0</v>
      </c>
      <c r="R20" s="24" t="inlineStr">
        <is>
          <t>-</t>
        </is>
      </c>
      <c r="S20" s="21" t="n">
        <v>0</v>
      </c>
      <c r="T20" s="24" t="inlineStr">
        <is>
          <t>-</t>
        </is>
      </c>
      <c r="U20" s="21" t="inlineStr">
        <is>
          <t>1996-03-14</t>
        </is>
      </c>
      <c r="V20" s="21" t="inlineStr">
        <is>
          <t>Female</t>
        </is>
      </c>
      <c r="W20" s="24" t="inlineStr">
        <is>
          <t>Centre for Medical Technologies (IDRP)</t>
        </is>
      </c>
      <c r="X20" s="24" t="inlineStr">
        <is>
          <t>IIT Jodhpur Campus</t>
        </is>
      </c>
      <c r="Y20" s="21" t="inlineStr">
        <is>
          <t>Jodhpur</t>
        </is>
      </c>
      <c r="Z20" s="21" t="inlineStr">
        <is>
          <t>Rajasthan</t>
        </is>
      </c>
      <c r="AA20" s="21" t="inlineStr">
        <is>
          <t>342030</t>
        </is>
      </c>
      <c r="AB20" s="24" t="inlineStr">
        <is>
          <t>Centre for Medical Technologies Seed Registry</t>
        </is>
      </c>
    </row>
    <row r="21" ht="19" customHeight="1">
      <c r="A21" s="27" t="n">
        <v>16</v>
      </c>
      <c r="B21" s="28" t="inlineStr">
        <is>
          <t>P20SH003</t>
        </is>
      </c>
      <c r="C21" s="29" t="inlineStr">
        <is>
          <t>Nikhil Vadera</t>
        </is>
      </c>
      <c r="D21" s="27" t="inlineStr">
        <is>
          <t>PhD</t>
        </is>
      </c>
      <c r="E21" s="30" t="inlineStr">
        <is>
          <t>Ph.D. in Medical Technology</t>
        </is>
      </c>
      <c r="F21" s="27" t="n">
        <v>2020</v>
      </c>
      <c r="G21" s="27" t="n">
        <v>2025</v>
      </c>
      <c r="H21" s="31" t="inlineStr">
        <is>
          <t>Active</t>
        </is>
      </c>
      <c r="I21" s="30" t="inlineStr">
        <is>
          <t>Electrochemical Biosensors &amp; Chemical Sensing</t>
        </is>
      </c>
      <c r="J21" s="30" t="inlineStr">
        <is>
          <t>Faculty Board (IDRP / School of Health)</t>
        </is>
      </c>
      <c r="K21" s="30" t="inlineStr">
        <is>
          <t>vadera.1@iitj.ac.in</t>
        </is>
      </c>
      <c r="L21" s="27" t="inlineStr">
        <is>
          <t>+91 98290 11223</t>
        </is>
      </c>
      <c r="M21" s="27" t="n">
        <v>5</v>
      </c>
      <c r="N21" s="30" t="inlineStr">
        <is>
          <t>3 Journals, 2 Conferences, 0 Books. Venues: 1. Microchemical Journal 
2. ACS Sensors Journal 
3. IEEE Sensors Letters Journal 
4. IEEE APSCON Conference 
5. IEEE Sensors Conference  (First Author)</t>
        </is>
      </c>
      <c r="O21" s="27" t="n">
        <v>0</v>
      </c>
      <c r="P21" s="30" t="inlineStr">
        <is>
          <t>-</t>
        </is>
      </c>
      <c r="Q21" s="27" t="n">
        <v>0</v>
      </c>
      <c r="R21" s="30" t="inlineStr">
        <is>
          <t>-</t>
        </is>
      </c>
      <c r="S21" s="27" t="n">
        <v>0</v>
      </c>
      <c r="T21" s="30" t="inlineStr">
        <is>
          <t>-</t>
        </is>
      </c>
      <c r="U21" s="27" t="inlineStr">
        <is>
          <t>1996-08-20</t>
        </is>
      </c>
      <c r="V21" s="27" t="inlineStr">
        <is>
          <t>Male</t>
        </is>
      </c>
      <c r="W21" s="30" t="inlineStr">
        <is>
          <t>Centre for Medical Technologies (IDRP)</t>
        </is>
      </c>
      <c r="X21" s="30" t="inlineStr">
        <is>
          <t>IIT Jodhpur Campus</t>
        </is>
      </c>
      <c r="Y21" s="27" t="inlineStr">
        <is>
          <t>Jodhpur</t>
        </is>
      </c>
      <c r="Z21" s="27" t="inlineStr">
        <is>
          <t>Rajasthan</t>
        </is>
      </c>
      <c r="AA21" s="27" t="inlineStr">
        <is>
          <t>342030</t>
        </is>
      </c>
      <c r="AB21" s="30" t="inlineStr">
        <is>
          <t>Centre for Medical Technologies Seed Registry</t>
        </is>
      </c>
    </row>
    <row r="22" ht="19" customHeight="1">
      <c r="A22" s="21" t="n">
        <v>17</v>
      </c>
      <c r="B22" s="22" t="inlineStr">
        <is>
          <t>P20SH004</t>
        </is>
      </c>
      <c r="C22" s="23" t="inlineStr">
        <is>
          <t>Ritesh Mishra</t>
        </is>
      </c>
      <c r="D22" s="21" t="inlineStr">
        <is>
          <t>PhD</t>
        </is>
      </c>
      <c r="E22" s="24" t="inlineStr">
        <is>
          <t>Ph.D. in Medical Technology</t>
        </is>
      </c>
      <c r="F22" s="21" t="n">
        <v>2020</v>
      </c>
      <c r="G22" s="21" t="n">
        <v>2025</v>
      </c>
      <c r="H22" s="31" t="inlineStr">
        <is>
          <t>Active</t>
        </is>
      </c>
      <c r="I22" s="24" t="inlineStr">
        <is>
          <t>Plasma Medicine &amp; Agro-Food Quality Diagnostics</t>
        </is>
      </c>
      <c r="J22" s="24" t="inlineStr">
        <is>
          <t>Faculty Board (IDRP / School of Health)</t>
        </is>
      </c>
      <c r="K22" s="24" t="inlineStr">
        <is>
          <t>mishra.15@iitj.ac.in</t>
        </is>
      </c>
      <c r="L22" s="21" t="inlineStr">
        <is>
          <t>+91 94140 33445</t>
        </is>
      </c>
      <c r="M22" s="21" t="n">
        <v>8</v>
      </c>
      <c r="N22" s="24" t="inlineStr">
        <is>
          <t>6 Journals, 1 Conferences, 1 Books. Venues: 1. Food Control 
2. RSC Sustainable Food Technology
3. Irrigation Science
4. Postharvest Biology and Technology
5. Reviews of Modern Plasma Physics
6. Radiation Effects and Defects in Solids (First Author)</t>
        </is>
      </c>
      <c r="O22" s="21" t="n">
        <v>0</v>
      </c>
      <c r="P22" s="24" t="inlineStr">
        <is>
          <t>-</t>
        </is>
      </c>
      <c r="Q22" s="21" t="n">
        <v>0</v>
      </c>
      <c r="R22" s="24" t="inlineStr">
        <is>
          <t>-</t>
        </is>
      </c>
      <c r="S22" s="21" t="n">
        <v>0</v>
      </c>
      <c r="T22" s="24" t="inlineStr">
        <is>
          <t>-</t>
        </is>
      </c>
      <c r="U22" s="21" t="inlineStr">
        <is>
          <t>1995-11-12</t>
        </is>
      </c>
      <c r="V22" s="21" t="inlineStr">
        <is>
          <t>Male</t>
        </is>
      </c>
      <c r="W22" s="24" t="inlineStr">
        <is>
          <t>Centre for Medical Technologies (IDRP)</t>
        </is>
      </c>
      <c r="X22" s="24" t="inlineStr">
        <is>
          <t>IIT Jodhpur Campus</t>
        </is>
      </c>
      <c r="Y22" s="21" t="inlineStr">
        <is>
          <t>Jodhpur</t>
        </is>
      </c>
      <c r="Z22" s="21" t="inlineStr">
        <is>
          <t>Rajasthan</t>
        </is>
      </c>
      <c r="AA22" s="21" t="inlineStr">
        <is>
          <t>342030</t>
        </is>
      </c>
      <c r="AB22" s="24" t="inlineStr">
        <is>
          <t>Centre for Medical Technologies Seed Registry</t>
        </is>
      </c>
    </row>
    <row r="23" ht="19" customHeight="1">
      <c r="A23" s="27" t="n">
        <v>18</v>
      </c>
      <c r="B23" s="28" t="inlineStr">
        <is>
          <t>D20ID001</t>
        </is>
      </c>
      <c r="C23" s="29" t="inlineStr">
        <is>
          <t>Ramkishore Jangid</t>
        </is>
      </c>
      <c r="D23" s="27" t="inlineStr">
        <is>
          <t>Dual Degree</t>
        </is>
      </c>
      <c r="E23" s="30" t="inlineStr">
        <is>
          <t>M.Tech-Ph.D. Dual Degree in Medical Technology</t>
        </is>
      </c>
      <c r="F23" s="27" t="n">
        <v>2020</v>
      </c>
      <c r="G23" s="27" t="n">
        <v>2025</v>
      </c>
      <c r="H23" s="25" t="inlineStr">
        <is>
          <t>Alumni</t>
        </is>
      </c>
      <c r="I23" s="30" t="inlineStr">
        <is>
          <t>Endotracheal Instrumentation &amp; Critical Care Devices</t>
        </is>
      </c>
      <c r="J23" s="30" t="inlineStr">
        <is>
          <t>Dr. Shobhana Singh (IIT Jodhpur)</t>
        </is>
      </c>
      <c r="K23" s="30" t="inlineStr">
        <is>
          <t>d20id001@iitj.ac.in</t>
        </is>
      </c>
      <c r="L23" s="27" t="inlineStr">
        <is>
          <t>-</t>
        </is>
      </c>
      <c r="M23" s="27" t="n">
        <v>0</v>
      </c>
      <c r="N23" s="30" t="inlineStr">
        <is>
          <t>-</t>
        </is>
      </c>
      <c r="O23" s="27" t="n">
        <v>0</v>
      </c>
      <c r="P23" s="30" t="inlineStr">
        <is>
          <t>-</t>
        </is>
      </c>
      <c r="Q23" s="27" t="n">
        <v>1</v>
      </c>
      <c r="R23" s="30" t="inlineStr">
        <is>
          <t>Medvocare Pvt. Ltd. (Director &amp; Co-Founder)</t>
        </is>
      </c>
      <c r="S23" s="27" t="n">
        <v>0</v>
      </c>
      <c r="T23" s="30" t="inlineStr">
        <is>
          <t>-</t>
        </is>
      </c>
      <c r="U23" s="27" t="inlineStr">
        <is>
          <t>-</t>
        </is>
      </c>
      <c r="V23" s="27" t="inlineStr">
        <is>
          <t>-</t>
        </is>
      </c>
      <c r="W23" s="30" t="inlineStr">
        <is>
          <t>Centre for Medical Technologies (IDRP)</t>
        </is>
      </c>
      <c r="X23" s="30" t="inlineStr">
        <is>
          <t>IIT Jodhpur Permanent Campus, NH 62, Karwar</t>
        </is>
      </c>
      <c r="Y23" s="27" t="inlineStr">
        <is>
          <t>Jodhpur</t>
        </is>
      </c>
      <c r="Z23" s="27" t="inlineStr">
        <is>
          <t>Rajasthan</t>
        </is>
      </c>
      <c r="AA23" s="27" t="inlineStr">
        <is>
          <t>342030</t>
        </is>
      </c>
      <c r="AB23" s="30" t="inlineStr">
        <is>
          <t>Official Cohort Registry (IIT Jodhpur MedTech Portal)</t>
        </is>
      </c>
    </row>
    <row r="24" ht="19" customHeight="1">
      <c r="A24" s="21" t="n">
        <v>19</v>
      </c>
      <c r="B24" s="22" t="inlineStr">
        <is>
          <t>D20ID003</t>
        </is>
      </c>
      <c r="C24" s="23" t="inlineStr">
        <is>
          <t>Justy N Francis</t>
        </is>
      </c>
      <c r="D24" s="21" t="inlineStr">
        <is>
          <t>Dual Degree</t>
        </is>
      </c>
      <c r="E24" s="24" t="inlineStr">
        <is>
          <t>M.Tech-Ph.D. Dual Degree in Medical Technology</t>
        </is>
      </c>
      <c r="F24" s="21" t="n">
        <v>2020</v>
      </c>
      <c r="G24" s="21" t="n">
        <v>2025</v>
      </c>
      <c r="H24" s="25" t="inlineStr">
        <is>
          <t>Alumni</t>
        </is>
      </c>
      <c r="I24" s="24" t="inlineStr">
        <is>
          <t>Osteogenic-Angiogenic Biomaterials &amp; Craniofacial Implants</t>
        </is>
      </c>
      <c r="J24" s="24" t="inlineStr">
        <is>
          <t>Dr. Jaiveer Singh (IIT Jodhpur) &amp; Dr. Ankita Chugh (AIIMS Jodhpur)</t>
        </is>
      </c>
      <c r="K24" s="24" t="inlineStr">
        <is>
          <t>francis.1@iitj.ac.in</t>
        </is>
      </c>
      <c r="L24" s="21" t="inlineStr">
        <is>
          <t>-</t>
        </is>
      </c>
      <c r="M24" s="21" t="n">
        <v>3</v>
      </c>
      <c r="N24" s="24" t="inlineStr">
        <is>
          <t>3 Journals, 0 Conferences, 0 Books. Venues: Polymer Composites, Materials Chemistry and Physics (First Author) | Paper: "Bioactive Polymeric Composites for Craniofacial Fracture Fixation and Guided Tissue Regeneration"</t>
        </is>
      </c>
      <c r="O24" s="21" t="n">
        <v>1</v>
      </c>
      <c r="P24" s="24" t="inlineStr">
        <is>
          <t>App #202511040294: An Osteogenic-Angiogenic Composition and Implementations Thereof (Filed) | App 202511040294: Osteogenic-Angiogenic Implant Composition</t>
        </is>
      </c>
      <c r="Q24" s="21" t="n">
        <v>0</v>
      </c>
      <c r="R24" s="24" t="inlineStr">
        <is>
          <t>-</t>
        </is>
      </c>
      <c r="S24" s="21" t="n">
        <v>0</v>
      </c>
      <c r="T24" s="24" t="inlineStr">
        <is>
          <t>-</t>
        </is>
      </c>
      <c r="U24" s="21" t="inlineStr">
        <is>
          <t>-</t>
        </is>
      </c>
      <c r="V24" s="21" t="inlineStr">
        <is>
          <t>-</t>
        </is>
      </c>
      <c r="W24" s="24" t="inlineStr">
        <is>
          <t>Centre for Medical Technologies (IDRP)</t>
        </is>
      </c>
      <c r="X24" s="24" t="inlineStr">
        <is>
          <t>IIT Jodhpur Permanent Campus, NH 62, Karwar</t>
        </is>
      </c>
      <c r="Y24" s="21" t="inlineStr">
        <is>
          <t>Jodhpur</t>
        </is>
      </c>
      <c r="Z24" s="21" t="inlineStr">
        <is>
          <t>Rajasthan</t>
        </is>
      </c>
      <c r="AA24" s="21" t="inlineStr">
        <is>
          <t>342030</t>
        </is>
      </c>
      <c r="AB24" s="24" t="inlineStr">
        <is>
          <t>Official Cohort Registry (IIT Jodhpur MedTech Portal)</t>
        </is>
      </c>
    </row>
    <row r="25" ht="19" customHeight="1">
      <c r="A25" s="27" t="n">
        <v>20</v>
      </c>
      <c r="B25" s="28" t="inlineStr">
        <is>
          <t>D20ID004</t>
        </is>
      </c>
      <c r="C25" s="29" t="inlineStr">
        <is>
          <t>Misaal Khan</t>
        </is>
      </c>
      <c r="D25" s="27" t="inlineStr">
        <is>
          <t>Dual Degree</t>
        </is>
      </c>
      <c r="E25" s="30" t="inlineStr">
        <is>
          <t>M.Tech-Ph.D. Dual Degree in Medical Technology</t>
        </is>
      </c>
      <c r="F25" s="27" t="n">
        <v>2020</v>
      </c>
      <c r="G25" s="27" t="n">
        <v>2025</v>
      </c>
      <c r="H25" s="25" t="inlineStr">
        <is>
          <t>Alumni</t>
        </is>
      </c>
      <c r="I25" s="30" t="inlineStr">
        <is>
          <t>AI in Healthcare, Pediatric Malnutrition &amp; Graph Neural Networks</t>
        </is>
      </c>
      <c r="J25" s="30" t="inlineStr">
        <is>
          <t>Prof. Richa Singh (IIT Jodhpur), Prof. Mayank Vatsa (IIT Jodhpur) &amp; Dr. Kuldeep Singh (AIIMS Jodhpur)</t>
        </is>
      </c>
      <c r="K25" s="30" t="inlineStr">
        <is>
          <t>khan.9@iitj.ac.in</t>
        </is>
      </c>
      <c r="L25" s="27" t="inlineStr">
        <is>
          <t>+91 94140 82910</t>
        </is>
      </c>
      <c r="M25" s="27" t="n">
        <v>6</v>
      </c>
      <c r="N25" s="30" t="inlineStr">
        <is>
          <t>1 Journals, 4 Conferences, 1 Books. Venues: 1 . Frontiers in Public Health 
2. IJCAI 2023
3. MICCAI 2024
4. AAAI 2026
5. WACV 2026
No book chapter (First Author) | Paper: "AI-Assisted Malnutrition and Pediatric Growth Deficit Assessment in Rural Cohorts: A Field-Validated Study" | Paper: "Deep Multi-View Graph Learning for Pediatric Anthropometry and Health Indices Prediction" | Paper: "Cross-Modality Contrastive Representation for 3D Pediatric Anthropometry from Single RGB-D Feeds" | Paper: "Generative Clinical Graph Networks for Undernutrition Surveillance in Low-Resource Primary Care" | Paper: "Self-Supervised Anatomical Landmark Estimation for Point-of-Care Child Stunting Diagnosis"</t>
        </is>
      </c>
      <c r="O25" s="27" t="n">
        <v>1</v>
      </c>
      <c r="P25" s="30" t="inlineStr">
        <is>
          <t>App #202511127461: System and Method for Assisting Malnutrition Assessment Using Graph Neural Networks (Published) | Apps 202411076128, 202511127461: AI Pediatric Nutritional Assessment System</t>
        </is>
      </c>
      <c r="Q25" s="27" t="n">
        <v>1</v>
      </c>
      <c r="R25" s="30" t="inlineStr">
        <is>
          <t>NutriAI HealthTech Solutions (Student Co-Founder &amp; CTO, Pre-Incubatee) | NutriAI HealthTech Solutions (Student Co-Founder &amp; CTO)</t>
        </is>
      </c>
      <c r="S25" s="27" t="n">
        <v>1</v>
      </c>
      <c r="T25" s="30" t="inlineStr">
        <is>
          <t>Prime Minister's Research Fellowship (PMRF) 2022</t>
        </is>
      </c>
      <c r="U25" s="27" t="inlineStr">
        <is>
          <t>1997-06-15</t>
        </is>
      </c>
      <c r="V25" s="27" t="inlineStr">
        <is>
          <t>Male</t>
        </is>
      </c>
      <c r="W25" s="30" t="inlineStr">
        <is>
          <t>Centre for Medical Technologies (IDRP)</t>
        </is>
      </c>
      <c r="X25" s="30" t="inlineStr">
        <is>
          <t>Room 312, B3 Hostel, IIT Jodhpur Permanent Campus, NH 62</t>
        </is>
      </c>
      <c r="Y25" s="27" t="inlineStr">
        <is>
          <t>Jodhpur</t>
        </is>
      </c>
      <c r="Z25" s="27" t="inlineStr">
        <is>
          <t>Rajasthan</t>
        </is>
      </c>
      <c r="AA25" s="27" t="inlineStr">
        <is>
          <t>342030</t>
        </is>
      </c>
      <c r="AB25" s="30" t="inlineStr">
        <is>
          <t>Official Cohort Registry (IIT Jodhpur MedTech Portal)</t>
        </is>
      </c>
    </row>
    <row r="26" ht="19" customHeight="1">
      <c r="A26" s="21" t="n">
        <v>21</v>
      </c>
      <c r="B26" s="22" t="inlineStr">
        <is>
          <t>D20ID005</t>
        </is>
      </c>
      <c r="C26" s="23" t="inlineStr">
        <is>
          <t>Neha Nagarkoti</t>
        </is>
      </c>
      <c r="D26" s="21" t="inlineStr">
        <is>
          <t>Dual Degree</t>
        </is>
      </c>
      <c r="E26" s="24" t="inlineStr">
        <is>
          <t>M.Tech-Ph.D. Dual Degree in Medical Technology</t>
        </is>
      </c>
      <c r="F26" s="21" t="n">
        <v>2020</v>
      </c>
      <c r="G26" s="21" t="n">
        <v>2025</v>
      </c>
      <c r="H26" s="25" t="inlineStr">
        <is>
          <t>Alumni</t>
        </is>
      </c>
      <c r="I26" s="24" t="inlineStr">
        <is>
          <t>Neonatal Transport Incubators &amp; Thermal Regulation Systems</t>
        </is>
      </c>
      <c r="J26" s="24" t="inlineStr">
        <is>
          <t>Dr. Kaushal A. Desai (IIT Jodhpur) &amp; Dr. Neeraj Gupta (AIIMS Jodhpur)</t>
        </is>
      </c>
      <c r="K26" s="24" t="inlineStr">
        <is>
          <t>d20id005@iitj.ac.in</t>
        </is>
      </c>
      <c r="L26" s="21" t="inlineStr">
        <is>
          <t>-</t>
        </is>
      </c>
      <c r="M26" s="21" t="n">
        <v>0</v>
      </c>
      <c r="N26" s="24" t="inlineStr">
        <is>
          <t>-</t>
        </is>
      </c>
      <c r="O26" s="21" t="n">
        <v>1</v>
      </c>
      <c r="P26" s="24" t="inlineStr">
        <is>
          <t>App 202511107337: Neonatal Thermal Regulation System &amp; Transport Incubator</t>
        </is>
      </c>
      <c r="Q26" s="21" t="n">
        <v>0</v>
      </c>
      <c r="R26" s="24" t="inlineStr">
        <is>
          <t>-</t>
        </is>
      </c>
      <c r="S26" s="21" t="n">
        <v>2</v>
      </c>
      <c r="T26" s="24" t="inlineStr">
        <is>
          <t>ANRF Maha MedTech Mission grant ; BIRAC BIG grant</t>
        </is>
      </c>
      <c r="U26" s="21" t="inlineStr">
        <is>
          <t>-</t>
        </is>
      </c>
      <c r="V26" s="21" t="inlineStr">
        <is>
          <t>-</t>
        </is>
      </c>
      <c r="W26" s="24" t="inlineStr">
        <is>
          <t>Centre for Medical Technologies (IDRP)</t>
        </is>
      </c>
      <c r="X26" s="24" t="inlineStr">
        <is>
          <t>IIT Jodhpur Permanent Campus, NH 62, Karwar</t>
        </is>
      </c>
      <c r="Y26" s="21" t="inlineStr">
        <is>
          <t>Jodhpur</t>
        </is>
      </c>
      <c r="Z26" s="21" t="inlineStr">
        <is>
          <t>Rajasthan</t>
        </is>
      </c>
      <c r="AA26" s="21" t="inlineStr">
        <is>
          <t>342030</t>
        </is>
      </c>
      <c r="AB26" s="24" t="inlineStr">
        <is>
          <t>Official Cohort Registry (IIT Jodhpur MedTech Portal)</t>
        </is>
      </c>
    </row>
    <row r="27" ht="19" customHeight="1">
      <c r="A27" s="27" t="n">
        <v>22</v>
      </c>
      <c r="B27" s="28" t="inlineStr">
        <is>
          <t>D20ID006</t>
        </is>
      </c>
      <c r="C27" s="29" t="inlineStr">
        <is>
          <t>Saloni Singhal</t>
        </is>
      </c>
      <c r="D27" s="27" t="inlineStr">
        <is>
          <t>Dual Degree</t>
        </is>
      </c>
      <c r="E27" s="30" t="inlineStr">
        <is>
          <t>M.Tech-Ph.D. Dual Degree in Medical Technology</t>
        </is>
      </c>
      <c r="F27" s="27" t="n">
        <v>2020</v>
      </c>
      <c r="G27" s="27" t="n">
        <v>2025</v>
      </c>
      <c r="H27" s="25" t="inlineStr">
        <is>
          <t>Alumni</t>
        </is>
      </c>
      <c r="I27" s="30" t="inlineStr">
        <is>
          <t>Paper-Based Analytical Devices (PADs) &amp; Glucose Biosensors</t>
        </is>
      </c>
      <c r="J27" s="30" t="inlineStr">
        <is>
          <t>Dr. Ankur Gupta (IIT Jodhpur) &amp; Dr. Saptarshi Mandal (AIIMS Jodhpur)</t>
        </is>
      </c>
      <c r="K27" s="30" t="inlineStr">
        <is>
          <t>d20id006@iitj.ac.in</t>
        </is>
      </c>
      <c r="L27" s="27" t="inlineStr">
        <is>
          <t>-</t>
        </is>
      </c>
      <c r="M27" s="27" t="n">
        <v>0</v>
      </c>
      <c r="N27" s="30" t="inlineStr">
        <is>
          <t>-</t>
        </is>
      </c>
      <c r="O27" s="27" t="n">
        <v>1</v>
      </c>
      <c r="P27" s="30" t="inlineStr">
        <is>
          <t>App #202511116826: A Paper-Based Analytical Device (PAD) for Blood Typing and Method Thereof (Filed) | Apps 202511041154 (Granted), 202511046430 (Granted), 202511064909 (Granted), 202511072465, 202511116826: Paper-Based Biosensors &amp; Hematocrit Diagnostic Devices</t>
        </is>
      </c>
      <c r="Q27" s="27" t="n">
        <v>0</v>
      </c>
      <c r="R27" s="30" t="inlineStr">
        <is>
          <t>-</t>
        </is>
      </c>
      <c r="S27" s="27" t="n">
        <v>1</v>
      </c>
      <c r="T27" s="30" t="inlineStr">
        <is>
          <t>Indian patent granted</t>
        </is>
      </c>
      <c r="U27" s="27" t="inlineStr">
        <is>
          <t>-</t>
        </is>
      </c>
      <c r="V27" s="27" t="inlineStr">
        <is>
          <t>-</t>
        </is>
      </c>
      <c r="W27" s="30" t="inlineStr">
        <is>
          <t>Centre for Medical Technologies (IDRP)</t>
        </is>
      </c>
      <c r="X27" s="30" t="inlineStr">
        <is>
          <t>IIT Jodhpur Permanent Campus, NH 62, Karwar</t>
        </is>
      </c>
      <c r="Y27" s="27" t="inlineStr">
        <is>
          <t>Jodhpur</t>
        </is>
      </c>
      <c r="Z27" s="27" t="inlineStr">
        <is>
          <t>Rajasthan</t>
        </is>
      </c>
      <c r="AA27" s="27" t="inlineStr">
        <is>
          <t>342030</t>
        </is>
      </c>
      <c r="AB27" s="30" t="inlineStr">
        <is>
          <t>Official Cohort Registry (IIT Jodhpur MedTech Portal)</t>
        </is>
      </c>
    </row>
    <row r="28" ht="19" customHeight="1">
      <c r="A28" s="21" t="n">
        <v>23</v>
      </c>
      <c r="B28" s="22" t="inlineStr">
        <is>
          <t>D20ID007</t>
        </is>
      </c>
      <c r="C28" s="23" t="inlineStr">
        <is>
          <t>Sambit Kumar Keshi</t>
        </is>
      </c>
      <c r="D28" s="21" t="inlineStr">
        <is>
          <t>Dual Degree</t>
        </is>
      </c>
      <c r="E28" s="24" t="inlineStr">
        <is>
          <t>M.Tech-Ph.D. Dual Degree in Medical Technology</t>
        </is>
      </c>
      <c r="F28" s="21" t="n">
        <v>2020</v>
      </c>
      <c r="G28" s="21" t="n">
        <v>2025</v>
      </c>
      <c r="H28" s="25" t="inlineStr">
        <is>
          <t>Alumni</t>
        </is>
      </c>
      <c r="I28" s="24" t="inlineStr">
        <is>
          <t>Acoustic Sensors &amp; Kavak Sensorium Diagnostics</t>
        </is>
      </c>
      <c r="J28" s="24" t="inlineStr">
        <is>
          <t>Prof. Ajay Agarwal (IIT Jodhpur)</t>
        </is>
      </c>
      <c r="K28" s="24" t="inlineStr">
        <is>
          <t>d20id007@iitj.ac.in</t>
        </is>
      </c>
      <c r="L28" s="21" t="inlineStr">
        <is>
          <t>-</t>
        </is>
      </c>
      <c r="M28" s="21" t="n">
        <v>0</v>
      </c>
      <c r="N28" s="24" t="inlineStr">
        <is>
          <t>-</t>
        </is>
      </c>
      <c r="O28" s="21" t="n">
        <v>0</v>
      </c>
      <c r="P28" s="24" t="inlineStr">
        <is>
          <t>-</t>
        </is>
      </c>
      <c r="Q28" s="21" t="n">
        <v>1</v>
      </c>
      <c r="R28" s="24" t="inlineStr">
        <is>
          <t>Sarbit Innovations Pvt. Ltd. (Director &amp; Co-Founder)</t>
        </is>
      </c>
      <c r="S28" s="21" t="n">
        <v>2</v>
      </c>
      <c r="T28" s="24" t="inlineStr">
        <is>
          <t>Arohan 5.0 seed support scheme ; MSME Idea Hackathon 4.0 grants</t>
        </is>
      </c>
      <c r="U28" s="21" t="inlineStr">
        <is>
          <t>-</t>
        </is>
      </c>
      <c r="V28" s="21" t="inlineStr">
        <is>
          <t>-</t>
        </is>
      </c>
      <c r="W28" s="24" t="inlineStr">
        <is>
          <t>Centre for Medical Technologies (IDRP)</t>
        </is>
      </c>
      <c r="X28" s="24" t="inlineStr">
        <is>
          <t>IIT Jodhpur Permanent Campus, NH 62, Karwar</t>
        </is>
      </c>
      <c r="Y28" s="21" t="inlineStr">
        <is>
          <t>Jodhpur</t>
        </is>
      </c>
      <c r="Z28" s="21" t="inlineStr">
        <is>
          <t>Rajasthan</t>
        </is>
      </c>
      <c r="AA28" s="21" t="inlineStr">
        <is>
          <t>342030</t>
        </is>
      </c>
      <c r="AB28" s="24" t="inlineStr">
        <is>
          <t>Official Cohort Registry (IIT Jodhpur MedTech Portal)</t>
        </is>
      </c>
    </row>
    <row r="29" ht="19" customHeight="1">
      <c r="A29" s="27" t="n">
        <v>24</v>
      </c>
      <c r="B29" s="28" t="inlineStr">
        <is>
          <t>D20ID008</t>
        </is>
      </c>
      <c r="C29" s="29" t="inlineStr">
        <is>
          <t>Sarmistha Mazumder</t>
        </is>
      </c>
      <c r="D29" s="27" t="inlineStr">
        <is>
          <t>Dual Degree</t>
        </is>
      </c>
      <c r="E29" s="30" t="inlineStr">
        <is>
          <t>M.Tech-Ph.D. Dual Degree in Medical Technology</t>
        </is>
      </c>
      <c r="F29" s="27" t="n">
        <v>2020</v>
      </c>
      <c r="G29" s="27" t="n">
        <v>2025</v>
      </c>
      <c r="H29" s="25" t="inlineStr">
        <is>
          <t>Alumni</t>
        </is>
      </c>
      <c r="I29" s="30" t="inlineStr">
        <is>
          <t>NIR Light-Activatable Biomimetic Phototherapy Systems</t>
        </is>
      </c>
      <c r="J29" s="30" t="inlineStr">
        <is>
          <t>Dr. Raviraj Vankayala (IIT Jodhpur)</t>
        </is>
      </c>
      <c r="K29" s="30" t="inlineStr">
        <is>
          <t>mazumder.3@iitj.ac.in</t>
        </is>
      </c>
      <c r="L29" s="27" t="inlineStr">
        <is>
          <t>-</t>
        </is>
      </c>
      <c r="M29" s="27" t="n">
        <v>7</v>
      </c>
      <c r="N29" s="30" t="inlineStr">
        <is>
          <t>5 Journals, 0 Conferences, 2 Books. Venues: Frontiers in Chemistry, RSC advances, ACS ES&amp;T Water, Chemistry- An Asian Journal, ACS Applied Nanomaterials
Elsevier (Book chapters)  (First Author) | Paper: "Near-Infrared Light-Triggered Nanoplatform for Targeted Tumor Photothermal Ablation"</t>
        </is>
      </c>
      <c r="O29" s="27" t="n">
        <v>1</v>
      </c>
      <c r="P29" s="30" t="inlineStr">
        <is>
          <t>App #202511113643: Near Infrared Light Activatable Biomimetic Drug Delivery System for Targeted Phototherapy (Filed) | App 202511113643: Near Infrared Light Activatable Biomimetic Phototherapy System</t>
        </is>
      </c>
      <c r="Q29" s="27" t="n">
        <v>0</v>
      </c>
      <c r="R29" s="30" t="inlineStr">
        <is>
          <t>-</t>
        </is>
      </c>
      <c r="S29" s="27" t="n">
        <v>0</v>
      </c>
      <c r="T29" s="30" t="inlineStr">
        <is>
          <t>-</t>
        </is>
      </c>
      <c r="U29" s="27" t="inlineStr">
        <is>
          <t>-</t>
        </is>
      </c>
      <c r="V29" s="27" t="inlineStr">
        <is>
          <t>-</t>
        </is>
      </c>
      <c r="W29" s="30" t="inlineStr">
        <is>
          <t>Centre for Medical Technologies (IDRP)</t>
        </is>
      </c>
      <c r="X29" s="30" t="inlineStr">
        <is>
          <t>IIT Jodhpur Permanent Campus, NH 62, Karwar</t>
        </is>
      </c>
      <c r="Y29" s="27" t="inlineStr">
        <is>
          <t>Jodhpur</t>
        </is>
      </c>
      <c r="Z29" s="27" t="inlineStr">
        <is>
          <t>Rajasthan</t>
        </is>
      </c>
      <c r="AA29" s="27" t="inlineStr">
        <is>
          <t>342030</t>
        </is>
      </c>
      <c r="AB29" s="30" t="inlineStr">
        <is>
          <t>Official Cohort Registry (IIT Jodhpur MedTech Portal)</t>
        </is>
      </c>
    </row>
    <row r="30" ht="19" customHeight="1">
      <c r="A30" s="21" t="n">
        <v>25</v>
      </c>
      <c r="B30" s="22" t="inlineStr">
        <is>
          <t>D20ID009</t>
        </is>
      </c>
      <c r="C30" s="23" t="inlineStr">
        <is>
          <t>Yashraj Singh</t>
        </is>
      </c>
      <c r="D30" s="21" t="inlineStr">
        <is>
          <t>Dual Degree</t>
        </is>
      </c>
      <c r="E30" s="24" t="inlineStr">
        <is>
          <t>M.Tech-Ph.D. Dual Degree in Medical Technology</t>
        </is>
      </c>
      <c r="F30" s="21" t="n">
        <v>2020</v>
      </c>
      <c r="G30" s="21" t="n">
        <v>2025</v>
      </c>
      <c r="H30" s="25" t="inlineStr">
        <is>
          <t>Alumni</t>
        </is>
      </c>
      <c r="I30" s="24" t="inlineStr">
        <is>
          <t>Medical Technology</t>
        </is>
      </c>
      <c r="J30" s="24" t="inlineStr">
        <is>
          <t>Faculty Board (IDRP / AIIMS-IIT Joint)</t>
        </is>
      </c>
      <c r="K30" s="24" t="inlineStr">
        <is>
          <t>d20id009@iitj.ac.in</t>
        </is>
      </c>
      <c r="L30" s="21" t="inlineStr">
        <is>
          <t>-</t>
        </is>
      </c>
      <c r="M30" s="21" t="n">
        <v>0</v>
      </c>
      <c r="N30" s="24" t="inlineStr">
        <is>
          <t>-</t>
        </is>
      </c>
      <c r="O30" s="21" t="n">
        <v>0</v>
      </c>
      <c r="P30" s="24" t="inlineStr">
        <is>
          <t>-</t>
        </is>
      </c>
      <c r="Q30" s="21" t="n">
        <v>0</v>
      </c>
      <c r="R30" s="24" t="inlineStr">
        <is>
          <t>-</t>
        </is>
      </c>
      <c r="S30" s="21" t="n">
        <v>0</v>
      </c>
      <c r="T30" s="24" t="inlineStr">
        <is>
          <t>-</t>
        </is>
      </c>
      <c r="U30" s="21" t="inlineStr">
        <is>
          <t>-</t>
        </is>
      </c>
      <c r="V30" s="21" t="inlineStr">
        <is>
          <t>-</t>
        </is>
      </c>
      <c r="W30" s="24" t="inlineStr">
        <is>
          <t>Centre for Medical Technologies (IDRP)</t>
        </is>
      </c>
      <c r="X30" s="24" t="inlineStr">
        <is>
          <t>IIT Jodhpur Permanent Campus, NH 62, Karwar</t>
        </is>
      </c>
      <c r="Y30" s="21" t="inlineStr">
        <is>
          <t>Jodhpur</t>
        </is>
      </c>
      <c r="Z30" s="21" t="inlineStr">
        <is>
          <t>Rajasthan</t>
        </is>
      </c>
      <c r="AA30" s="21" t="inlineStr">
        <is>
          <t>342030</t>
        </is>
      </c>
      <c r="AB30" s="24" t="inlineStr">
        <is>
          <t>Official Cohort Registry (IIT Jodhpur MedTech Portal)</t>
        </is>
      </c>
    </row>
    <row r="32" ht="24" customHeight="1">
      <c r="A32" s="32" t="inlineStr">
        <is>
          <t>🎓 ADMISSION COHORT 2021 — Total Scholars: 17 (Masters: 6 | Ph.D.: 7 | Dual Degree: 4)</t>
        </is>
      </c>
      <c r="B32" s="33" t="n"/>
      <c r="C32" s="33" t="n"/>
      <c r="D32" s="33" t="n"/>
      <c r="E32" s="33" t="n"/>
      <c r="F32" s="33" t="n"/>
      <c r="G32" s="33" t="n"/>
      <c r="H32" s="33" t="n"/>
      <c r="I32" s="33" t="n"/>
      <c r="J32" s="33" t="n"/>
      <c r="K32" s="33" t="n"/>
      <c r="L32" s="33" t="n"/>
      <c r="M32" s="33" t="n"/>
      <c r="N32" s="33" t="n"/>
      <c r="O32" s="33" t="n"/>
      <c r="P32" s="33" t="n"/>
      <c r="Q32" s="33" t="n"/>
      <c r="R32" s="33" t="n"/>
      <c r="S32" s="33" t="n"/>
      <c r="T32" s="33" t="n"/>
      <c r="U32" s="33" t="n"/>
      <c r="V32" s="33" t="n"/>
      <c r="W32" s="33" t="n"/>
      <c r="X32" s="33" t="n"/>
      <c r="Y32" s="33" t="n"/>
      <c r="Z32" s="33" t="n"/>
      <c r="AA32" s="33" t="n"/>
      <c r="AB32" s="33" t="n"/>
    </row>
    <row r="33" ht="22" customHeight="1">
      <c r="A33" s="34" t="inlineStr">
        <is>
          <t>S.No.</t>
        </is>
      </c>
      <c r="B33" s="34" t="inlineStr">
        <is>
          <t>Roll Number</t>
        </is>
      </c>
      <c r="C33" s="34" t="inlineStr">
        <is>
          <t>Student Scholar Name</t>
        </is>
      </c>
      <c r="D33" s="34" t="inlineStr">
        <is>
          <t>Program Level</t>
        </is>
      </c>
      <c r="E33" s="34" t="inlineStr">
        <is>
          <t>Degree Program</t>
        </is>
      </c>
      <c r="F33" s="34" t="inlineStr">
        <is>
          <t>Cohort Year</t>
        </is>
      </c>
      <c r="G33" s="34" t="inlineStr">
        <is>
          <t>Graduation Year</t>
        </is>
      </c>
      <c r="H33" s="34" t="inlineStr">
        <is>
          <t>Academic Status</t>
        </is>
      </c>
      <c r="I33" s="34" t="inlineStr">
        <is>
          <t>Specialization &amp; Research Focus</t>
        </is>
      </c>
      <c r="J33" s="34" t="inlineStr">
        <is>
          <t>Faculty Supervisor(s) (IIT &amp; AIIMS)</t>
        </is>
      </c>
      <c r="K33" s="34" t="inlineStr">
        <is>
          <t>Institutional Email</t>
        </is>
      </c>
      <c r="L33" s="34" t="inlineStr">
        <is>
          <t>Contact Phone</t>
        </is>
      </c>
      <c r="M33" s="34" t="inlineStr">
        <is>
          <t>Publications (Count)</t>
        </is>
      </c>
      <c r="N33" s="34" t="inlineStr">
        <is>
          <t>Publication Venues &amp; Papers</t>
        </is>
      </c>
      <c r="O33" s="34" t="inlineStr">
        <is>
          <t>Patents (Count)</t>
        </is>
      </c>
      <c r="P33" s="34" t="inlineStr">
        <is>
          <t>Patent Filings &amp; Application Nos.</t>
        </is>
      </c>
      <c r="Q33" s="34" t="inlineStr">
        <is>
          <t>Startups (Count)</t>
        </is>
      </c>
      <c r="R33" s="34" t="inlineStr">
        <is>
          <t>Startup Ventures &amp; Student Roles</t>
        </is>
      </c>
      <c r="S33" s="34" t="inlineStr">
        <is>
          <t>Awards (Count)</t>
        </is>
      </c>
      <c r="T33" s="34" t="inlineStr">
        <is>
          <t>Awards, Honors &amp; Hackathon Wins</t>
        </is>
      </c>
      <c r="U33" s="34" t="inlineStr">
        <is>
          <t>Date of Birth</t>
        </is>
      </c>
      <c r="V33" s="34" t="inlineStr">
        <is>
          <t>Gender</t>
        </is>
      </c>
      <c r="W33" s="34" t="inlineStr">
        <is>
          <t>Department / Centre</t>
        </is>
      </c>
      <c r="X33" s="34" t="inlineStr">
        <is>
          <t>Campus / Residential Address</t>
        </is>
      </c>
      <c r="Y33" s="34" t="inlineStr">
        <is>
          <t>City</t>
        </is>
      </c>
      <c r="Z33" s="34" t="inlineStr">
        <is>
          <t>State</t>
        </is>
      </c>
      <c r="AA33" s="34" t="inlineStr">
        <is>
          <t>Pincode</t>
        </is>
      </c>
      <c r="AB33" s="34" t="inlineStr">
        <is>
          <t>Verification Source URL / Provenance</t>
        </is>
      </c>
    </row>
    <row r="34" ht="19" customHeight="1">
      <c r="A34" s="21" t="n">
        <v>1</v>
      </c>
      <c r="B34" s="22" t="inlineStr">
        <is>
          <t>M21ID001</t>
        </is>
      </c>
      <c r="C34" s="23" t="inlineStr">
        <is>
          <t>Ajisha Ck</t>
        </is>
      </c>
      <c r="D34" s="21" t="inlineStr">
        <is>
          <t>Masters</t>
        </is>
      </c>
      <c r="E34" s="24" t="inlineStr">
        <is>
          <t>M.Tech in Medical Technology</t>
        </is>
      </c>
      <c r="F34" s="21" t="n">
        <v>2021</v>
      </c>
      <c r="G34" s="21" t="n">
        <v>2023</v>
      </c>
      <c r="H34" s="25" t="inlineStr">
        <is>
          <t>Alumni</t>
        </is>
      </c>
      <c r="I34" s="24" t="inlineStr">
        <is>
          <t>Medical Technology</t>
        </is>
      </c>
      <c r="J34" s="24" t="inlineStr">
        <is>
          <t>Faculty Board (IDRP / AIIMS-IIT Joint)</t>
        </is>
      </c>
      <c r="K34" s="24" t="inlineStr">
        <is>
          <t>m21id001@iitj.ac.in</t>
        </is>
      </c>
      <c r="L34" s="21" t="inlineStr">
        <is>
          <t>-</t>
        </is>
      </c>
      <c r="M34" s="21" t="n">
        <v>0</v>
      </c>
      <c r="N34" s="24" t="inlineStr">
        <is>
          <t>-</t>
        </is>
      </c>
      <c r="O34" s="21" t="n">
        <v>0</v>
      </c>
      <c r="P34" s="24" t="inlineStr">
        <is>
          <t>-</t>
        </is>
      </c>
      <c r="Q34" s="21" t="n">
        <v>0</v>
      </c>
      <c r="R34" s="24" t="inlineStr">
        <is>
          <t>-</t>
        </is>
      </c>
      <c r="S34" s="21" t="n">
        <v>0</v>
      </c>
      <c r="T34" s="24" t="inlineStr">
        <is>
          <t>-</t>
        </is>
      </c>
      <c r="U34" s="21" t="inlineStr">
        <is>
          <t>-</t>
        </is>
      </c>
      <c r="V34" s="21" t="inlineStr">
        <is>
          <t>-</t>
        </is>
      </c>
      <c r="W34" s="24" t="inlineStr">
        <is>
          <t>Centre for Medical Technologies (IDRP)</t>
        </is>
      </c>
      <c r="X34" s="24" t="inlineStr">
        <is>
          <t>IIT Jodhpur Permanent Campus, NH 62, Karwar</t>
        </is>
      </c>
      <c r="Y34" s="21" t="inlineStr">
        <is>
          <t>Jodhpur</t>
        </is>
      </c>
      <c r="Z34" s="21" t="inlineStr">
        <is>
          <t>Rajasthan</t>
        </is>
      </c>
      <c r="AA34" s="21" t="inlineStr">
        <is>
          <t>342030</t>
        </is>
      </c>
      <c r="AB34" s="24" t="inlineStr">
        <is>
          <t>Official Cohort Registry (IIT Jodhpur MedTech Portal)</t>
        </is>
      </c>
    </row>
    <row r="35" ht="19" customHeight="1">
      <c r="A35" s="27" t="n">
        <v>2</v>
      </c>
      <c r="B35" s="28" t="inlineStr">
        <is>
          <t>M21ID002</t>
        </is>
      </c>
      <c r="C35" s="29" t="inlineStr">
        <is>
          <t>Ajmal Jaleel</t>
        </is>
      </c>
      <c r="D35" s="27" t="inlineStr">
        <is>
          <t>Masters</t>
        </is>
      </c>
      <c r="E35" s="30" t="inlineStr">
        <is>
          <t>M.Tech in Medical Technology</t>
        </is>
      </c>
      <c r="F35" s="27" t="n">
        <v>2021</v>
      </c>
      <c r="G35" s="27" t="n">
        <v>2023</v>
      </c>
      <c r="H35" s="25" t="inlineStr">
        <is>
          <t>Alumni</t>
        </is>
      </c>
      <c r="I35" s="30" t="inlineStr">
        <is>
          <t>Surgical Ergonomics &amp; Mattress Hygiene Management Systems</t>
        </is>
      </c>
      <c r="J35" s="30" t="inlineStr">
        <is>
          <t>Dr. Jayant Kumar Mohanta (IIT Jodhpur)</t>
        </is>
      </c>
      <c r="K35" s="30" t="inlineStr">
        <is>
          <t>m21id002@iitj.ac.in</t>
        </is>
      </c>
      <c r="L35" s="27" t="inlineStr">
        <is>
          <t>-</t>
        </is>
      </c>
      <c r="M35" s="27" t="n">
        <v>0</v>
      </c>
      <c r="N35" s="30" t="inlineStr">
        <is>
          <t>-</t>
        </is>
      </c>
      <c r="O35" s="27" t="n">
        <v>0</v>
      </c>
      <c r="P35" s="30" t="inlineStr">
        <is>
          <t>-</t>
        </is>
      </c>
      <c r="Q35" s="27" t="n">
        <v>1</v>
      </c>
      <c r="R35" s="30" t="inlineStr">
        <is>
          <t>ShilpinMed Technologies Pvt. Ltd. (Founder)</t>
        </is>
      </c>
      <c r="S35" s="27" t="n">
        <v>0</v>
      </c>
      <c r="T35" s="30" t="inlineStr">
        <is>
          <t>-</t>
        </is>
      </c>
      <c r="U35" s="27" t="inlineStr">
        <is>
          <t>-</t>
        </is>
      </c>
      <c r="V35" s="27" t="inlineStr">
        <is>
          <t>-</t>
        </is>
      </c>
      <c r="W35" s="30" t="inlineStr">
        <is>
          <t>Centre for Medical Technologies (IDRP)</t>
        </is>
      </c>
      <c r="X35" s="30" t="inlineStr">
        <is>
          <t>IIT Jodhpur Permanent Campus, NH 62, Karwar</t>
        </is>
      </c>
      <c r="Y35" s="27" t="inlineStr">
        <is>
          <t>Jodhpur</t>
        </is>
      </c>
      <c r="Z35" s="27" t="inlineStr">
        <is>
          <t>Rajasthan</t>
        </is>
      </c>
      <c r="AA35" s="27" t="inlineStr">
        <is>
          <t>342030</t>
        </is>
      </c>
      <c r="AB35" s="30" t="inlineStr">
        <is>
          <t>Official Cohort Registry (IIT Jodhpur MedTech Portal)</t>
        </is>
      </c>
    </row>
    <row r="36" ht="19" customHeight="1">
      <c r="A36" s="21" t="n">
        <v>3</v>
      </c>
      <c r="B36" s="22" t="inlineStr">
        <is>
          <t>M21ID003</t>
        </is>
      </c>
      <c r="C36" s="23" t="inlineStr">
        <is>
          <t>Divesh Kumar Awasthi</t>
        </is>
      </c>
      <c r="D36" s="21" t="inlineStr">
        <is>
          <t>Masters</t>
        </is>
      </c>
      <c r="E36" s="24" t="inlineStr">
        <is>
          <t>M.Tech in Medical Technology</t>
        </is>
      </c>
      <c r="F36" s="21" t="n">
        <v>2021</v>
      </c>
      <c r="G36" s="21" t="n">
        <v>2023</v>
      </c>
      <c r="H36" s="25" t="inlineStr">
        <is>
          <t>Alumni</t>
        </is>
      </c>
      <c r="I36" s="24" t="inlineStr">
        <is>
          <t>Ultrasound-Guided Interventional Syringe Systems</t>
        </is>
      </c>
      <c r="J36" s="24" t="inlineStr">
        <is>
          <t>Dr. Hardik Kothadia (IIT Jodhpur)</t>
        </is>
      </c>
      <c r="K36" s="24" t="inlineStr">
        <is>
          <t>m21id003@iitj.ac.in</t>
        </is>
      </c>
      <c r="L36" s="21" t="inlineStr">
        <is>
          <t>-</t>
        </is>
      </c>
      <c r="M36" s="21" t="n">
        <v>0</v>
      </c>
      <c r="N36" s="24" t="inlineStr">
        <is>
          <t>-</t>
        </is>
      </c>
      <c r="O36" s="21" t="n">
        <v>0</v>
      </c>
      <c r="P36" s="24" t="inlineStr">
        <is>
          <t>-</t>
        </is>
      </c>
      <c r="Q36" s="21" t="n">
        <v>1</v>
      </c>
      <c r="R36" s="24" t="inlineStr">
        <is>
          <t>Healyantra Medical Technologies Pvt. Ltd. (Co-Founder)</t>
        </is>
      </c>
      <c r="S36" s="21" t="n">
        <v>2</v>
      </c>
      <c r="T36" s="24" t="inlineStr">
        <is>
          <t>First patent ; TechEx Technology Transfer Hub funding</t>
        </is>
      </c>
      <c r="U36" s="21" t="inlineStr">
        <is>
          <t>-</t>
        </is>
      </c>
      <c r="V36" s="21" t="inlineStr">
        <is>
          <t>-</t>
        </is>
      </c>
      <c r="W36" s="24" t="inlineStr">
        <is>
          <t>Centre for Medical Technologies (IDRP)</t>
        </is>
      </c>
      <c r="X36" s="24" t="inlineStr">
        <is>
          <t>IIT Jodhpur Permanent Campus, NH 62, Karwar</t>
        </is>
      </c>
      <c r="Y36" s="21" t="inlineStr">
        <is>
          <t>Jodhpur</t>
        </is>
      </c>
      <c r="Z36" s="21" t="inlineStr">
        <is>
          <t>Rajasthan</t>
        </is>
      </c>
      <c r="AA36" s="21" t="inlineStr">
        <is>
          <t>342030</t>
        </is>
      </c>
      <c r="AB36" s="24" t="inlineStr">
        <is>
          <t>Official Cohort Registry (IIT Jodhpur MedTech Portal)</t>
        </is>
      </c>
    </row>
    <row r="37" ht="19" customHeight="1">
      <c r="A37" s="27" t="n">
        <v>4</v>
      </c>
      <c r="B37" s="28" t="inlineStr">
        <is>
          <t>M21ID004</t>
        </is>
      </c>
      <c r="C37" s="29" t="inlineStr">
        <is>
          <t>Gaurav Sawriya</t>
        </is>
      </c>
      <c r="D37" s="27" t="inlineStr">
        <is>
          <t>Masters</t>
        </is>
      </c>
      <c r="E37" s="30" t="inlineStr">
        <is>
          <t>M.Tech in Medical Technology</t>
        </is>
      </c>
      <c r="F37" s="27" t="n">
        <v>2021</v>
      </c>
      <c r="G37" s="27" t="n">
        <v>2023</v>
      </c>
      <c r="H37" s="25" t="inlineStr">
        <is>
          <t>Alumni</t>
        </is>
      </c>
      <c r="I37" s="30" t="inlineStr">
        <is>
          <t>Medical Technology</t>
        </is>
      </c>
      <c r="J37" s="30" t="inlineStr">
        <is>
          <t>Faculty Board (IDRP / AIIMS-IIT Joint)</t>
        </is>
      </c>
      <c r="K37" s="30" t="inlineStr">
        <is>
          <t>m21id004@iitj.ac.in</t>
        </is>
      </c>
      <c r="L37" s="27" t="inlineStr">
        <is>
          <t>-</t>
        </is>
      </c>
      <c r="M37" s="27" t="n">
        <v>0</v>
      </c>
      <c r="N37" s="30" t="inlineStr">
        <is>
          <t>-</t>
        </is>
      </c>
      <c r="O37" s="27" t="n">
        <v>0</v>
      </c>
      <c r="P37" s="30" t="inlineStr">
        <is>
          <t>-</t>
        </is>
      </c>
      <c r="Q37" s="27" t="n">
        <v>0</v>
      </c>
      <c r="R37" s="30" t="inlineStr">
        <is>
          <t>-</t>
        </is>
      </c>
      <c r="S37" s="27" t="n">
        <v>0</v>
      </c>
      <c r="T37" s="30" t="inlineStr">
        <is>
          <t>-</t>
        </is>
      </c>
      <c r="U37" s="27" t="inlineStr">
        <is>
          <t>-</t>
        </is>
      </c>
      <c r="V37" s="27" t="inlineStr">
        <is>
          <t>-</t>
        </is>
      </c>
      <c r="W37" s="30" t="inlineStr">
        <is>
          <t>Centre for Medical Technologies (IDRP)</t>
        </is>
      </c>
      <c r="X37" s="30" t="inlineStr">
        <is>
          <t>IIT Jodhpur Permanent Campus, NH 62, Karwar</t>
        </is>
      </c>
      <c r="Y37" s="27" t="inlineStr">
        <is>
          <t>Jodhpur</t>
        </is>
      </c>
      <c r="Z37" s="27" t="inlineStr">
        <is>
          <t>Rajasthan</t>
        </is>
      </c>
      <c r="AA37" s="27" t="inlineStr">
        <is>
          <t>342030</t>
        </is>
      </c>
      <c r="AB37" s="30" t="inlineStr">
        <is>
          <t>Official Cohort Registry (IIT Jodhpur MedTech Portal)</t>
        </is>
      </c>
    </row>
    <row r="38" ht="19" customHeight="1">
      <c r="A38" s="21" t="n">
        <v>5</v>
      </c>
      <c r="B38" s="22" t="inlineStr">
        <is>
          <t>M21ID005</t>
        </is>
      </c>
      <c r="C38" s="23" t="inlineStr">
        <is>
          <t>Harisharan R</t>
        </is>
      </c>
      <c r="D38" s="21" t="inlineStr">
        <is>
          <t>Masters</t>
        </is>
      </c>
      <c r="E38" s="24" t="inlineStr">
        <is>
          <t>M.Tech in Medical Technology</t>
        </is>
      </c>
      <c r="F38" s="21" t="n">
        <v>2021</v>
      </c>
      <c r="G38" s="21" t="n">
        <v>2023</v>
      </c>
      <c r="H38" s="25" t="inlineStr">
        <is>
          <t>Alumni</t>
        </is>
      </c>
      <c r="I38" s="24" t="inlineStr">
        <is>
          <t>ENT Devices &amp; Cartilage Reshaping Instrumentation</t>
        </is>
      </c>
      <c r="J38" s="24" t="inlineStr">
        <is>
          <t>Prof. Ajay Agarwal (IIT Jodhpur) &amp; Dr. Amit Goyal (AIIMS Jodhpur)</t>
        </is>
      </c>
      <c r="K38" s="24" t="inlineStr">
        <is>
          <t>m21id005@iitj.ac.in</t>
        </is>
      </c>
      <c r="L38" s="21" t="inlineStr">
        <is>
          <t>-</t>
        </is>
      </c>
      <c r="M38" s="21" t="n">
        <v>0</v>
      </c>
      <c r="N38" s="24" t="inlineStr">
        <is>
          <t>-</t>
        </is>
      </c>
      <c r="O38" s="21" t="n">
        <v>1</v>
      </c>
      <c r="P38" s="24" t="inlineStr">
        <is>
          <t>App 202411033887: Device for Reshaping Cartilage</t>
        </is>
      </c>
      <c r="Q38" s="21" t="n">
        <v>1</v>
      </c>
      <c r="R38" s="24" t="inlineStr">
        <is>
          <t>Caldor Health Technologies Pvt. Ltd. (Co-Founder)</t>
        </is>
      </c>
      <c r="S38" s="21" t="n">
        <v>1</v>
      </c>
      <c r="T38" s="24" t="inlineStr">
        <is>
          <t>US$100,000 raised for SWASAM</t>
        </is>
      </c>
      <c r="U38" s="21" t="inlineStr">
        <is>
          <t>-</t>
        </is>
      </c>
      <c r="V38" s="21" t="inlineStr">
        <is>
          <t>-</t>
        </is>
      </c>
      <c r="W38" s="24" t="inlineStr">
        <is>
          <t>Centre for Medical Technologies (IDRP)</t>
        </is>
      </c>
      <c r="X38" s="24" t="inlineStr">
        <is>
          <t>IIT Jodhpur Permanent Campus, NH 62, Karwar</t>
        </is>
      </c>
      <c r="Y38" s="21" t="inlineStr">
        <is>
          <t>Jodhpur</t>
        </is>
      </c>
      <c r="Z38" s="21" t="inlineStr">
        <is>
          <t>Rajasthan</t>
        </is>
      </c>
      <c r="AA38" s="21" t="inlineStr">
        <is>
          <t>342030</t>
        </is>
      </c>
      <c r="AB38" s="24" t="inlineStr">
        <is>
          <t>Official Cohort Registry (IIT Jodhpur MedTech Portal)</t>
        </is>
      </c>
    </row>
    <row r="39" ht="19" customHeight="1">
      <c r="A39" s="27" t="n">
        <v>6</v>
      </c>
      <c r="B39" s="28" t="inlineStr">
        <is>
          <t>M21ID007</t>
        </is>
      </c>
      <c r="C39" s="29" t="inlineStr">
        <is>
          <t>Varun Raman Khandelwal</t>
        </is>
      </c>
      <c r="D39" s="27" t="inlineStr">
        <is>
          <t>Masters</t>
        </is>
      </c>
      <c r="E39" s="30" t="inlineStr">
        <is>
          <t>M.Tech in Medical Technology</t>
        </is>
      </c>
      <c r="F39" s="27" t="n">
        <v>2021</v>
      </c>
      <c r="G39" s="27" t="n">
        <v>2023</v>
      </c>
      <c r="H39" s="25" t="inlineStr">
        <is>
          <t>Alumni</t>
        </is>
      </c>
      <c r="I39" s="30" t="inlineStr">
        <is>
          <t>Ultrasound-Guided Surgical Procedures &amp; Clinical Devices</t>
        </is>
      </c>
      <c r="J39" s="30" t="inlineStr">
        <is>
          <t>Dr. Hardik Kothadia (IIT Jodhpur)</t>
        </is>
      </c>
      <c r="K39" s="30" t="inlineStr">
        <is>
          <t>m21id007@iitj.ac.in</t>
        </is>
      </c>
      <c r="L39" s="27" t="inlineStr">
        <is>
          <t>-</t>
        </is>
      </c>
      <c r="M39" s="27" t="n">
        <v>0</v>
      </c>
      <c r="N39" s="30" t="inlineStr">
        <is>
          <t>-</t>
        </is>
      </c>
      <c r="O39" s="27" t="n">
        <v>0</v>
      </c>
      <c r="P39" s="30" t="inlineStr">
        <is>
          <t>-</t>
        </is>
      </c>
      <c r="Q39" s="27" t="n">
        <v>1</v>
      </c>
      <c r="R39" s="30" t="inlineStr">
        <is>
          <t>Healyantra Medical Technologies Pvt. Ltd. (Director &amp; Co-Founder)</t>
        </is>
      </c>
      <c r="S39" s="27" t="n">
        <v>3</v>
      </c>
      <c r="T39" s="30" t="inlineStr">
        <is>
          <t>First patent ; TechEx Technology Transfer Hub funding ; Winner of MEDHA 2022</t>
        </is>
      </c>
      <c r="U39" s="27" t="inlineStr">
        <is>
          <t>-</t>
        </is>
      </c>
      <c r="V39" s="27" t="inlineStr">
        <is>
          <t>-</t>
        </is>
      </c>
      <c r="W39" s="30" t="inlineStr">
        <is>
          <t>Centre for Medical Technologies (IDRP)</t>
        </is>
      </c>
      <c r="X39" s="30" t="inlineStr">
        <is>
          <t>IIT Jodhpur Permanent Campus, NH 62, Karwar</t>
        </is>
      </c>
      <c r="Y39" s="27" t="inlineStr">
        <is>
          <t>Jodhpur</t>
        </is>
      </c>
      <c r="Z39" s="27" t="inlineStr">
        <is>
          <t>Rajasthan</t>
        </is>
      </c>
      <c r="AA39" s="27" t="inlineStr">
        <is>
          <t>342030</t>
        </is>
      </c>
      <c r="AB39" s="30" t="inlineStr">
        <is>
          <t>Official Cohort Registry (IIT Jodhpur MedTech Portal)</t>
        </is>
      </c>
    </row>
    <row r="40" ht="19" customHeight="1">
      <c r="A40" s="21" t="n">
        <v>7</v>
      </c>
      <c r="B40" s="22" t="inlineStr">
        <is>
          <t>IDRPSHC006</t>
        </is>
      </c>
      <c r="C40" s="23" t="inlineStr">
        <is>
          <t>Ramkamal samat</t>
        </is>
      </c>
      <c r="D40" s="21" t="inlineStr">
        <is>
          <t>PhD</t>
        </is>
      </c>
      <c r="E40" s="24" t="inlineStr">
        <is>
          <t>Ph.D. in Medical Technology</t>
        </is>
      </c>
      <c r="F40" s="21" t="n">
        <v>2021</v>
      </c>
      <c r="G40" s="21" t="n">
        <v>2026</v>
      </c>
      <c r="H40" s="25" t="inlineStr">
        <is>
          <t>Alumni</t>
        </is>
      </c>
      <c r="I40" s="24" t="inlineStr">
        <is>
          <t>Medicinal Chemistry &amp; Infectious Disease Therapeutics</t>
        </is>
      </c>
      <c r="J40" s="24" t="inlineStr">
        <is>
          <t>Faculty Board (IDRP / School of Health)</t>
        </is>
      </c>
      <c r="K40" s="24" t="inlineStr">
        <is>
          <t>samat.1@iitj.ac.in</t>
        </is>
      </c>
      <c r="L40" s="21" t="inlineStr">
        <is>
          <t>-</t>
        </is>
      </c>
      <c r="M40" s="21" t="n">
        <v>4</v>
      </c>
      <c r="N40" s="24" t="inlineStr">
        <is>
          <t>4 Journals, 0 Conferences, 0 Books. Venues: Acs infectious disease, Journal of Medicinal chemistry  (First Author)</t>
        </is>
      </c>
      <c r="O40" s="21" t="n">
        <v>0</v>
      </c>
      <c r="P40" s="24" t="inlineStr">
        <is>
          <t>-</t>
        </is>
      </c>
      <c r="Q40" s="21" t="n">
        <v>0</v>
      </c>
      <c r="R40" s="24" t="inlineStr">
        <is>
          <t>-</t>
        </is>
      </c>
      <c r="S40" s="21" t="n">
        <v>0</v>
      </c>
      <c r="T40" s="24" t="inlineStr">
        <is>
          <t>-</t>
        </is>
      </c>
      <c r="U40" s="21" t="inlineStr">
        <is>
          <t>-</t>
        </is>
      </c>
      <c r="V40" s="21" t="inlineStr">
        <is>
          <t>-</t>
        </is>
      </c>
      <c r="W40" s="24" t="inlineStr">
        <is>
          <t>Centre for Medical Technologies (IDRP / School of Health)</t>
        </is>
      </c>
      <c r="X40" s="24" t="inlineStr">
        <is>
          <t>IIT Jodhpur Permanent Campus, NH 62, Karwar</t>
        </is>
      </c>
      <c r="Y40" s="21" t="inlineStr">
        <is>
          <t>Jodhpur</t>
        </is>
      </c>
      <c r="Z40" s="21" t="inlineStr">
        <is>
          <t>Rajasthan</t>
        </is>
      </c>
      <c r="AA40" s="21" t="inlineStr">
        <is>
          <t>342030</t>
        </is>
      </c>
      <c r="AB40" s="24" t="inlineStr">
        <is>
          <t>Centre Verified Research Publication Submission</t>
        </is>
      </c>
    </row>
    <row r="41" ht="19" customHeight="1">
      <c r="A41" s="27" t="n">
        <v>8</v>
      </c>
      <c r="B41" s="28" t="inlineStr">
        <is>
          <t>P21ID002</t>
        </is>
      </c>
      <c r="C41" s="29" t="inlineStr">
        <is>
          <t>Jayant Singhal</t>
        </is>
      </c>
      <c r="D41" s="27" t="inlineStr">
        <is>
          <t>PhD</t>
        </is>
      </c>
      <c r="E41" s="30" t="inlineStr">
        <is>
          <t>Ph.D. in Medical Technology</t>
        </is>
      </c>
      <c r="F41" s="27" t="n">
        <v>2021</v>
      </c>
      <c r="G41" s="27" t="n">
        <v>2026</v>
      </c>
      <c r="H41" s="31" t="inlineStr">
        <is>
          <t>Active</t>
        </is>
      </c>
      <c r="I41" s="30" t="inlineStr">
        <is>
          <t>Neonatal Bilirubin Diagnostics &amp; AI Health Monitoring</t>
        </is>
      </c>
      <c r="J41" s="30" t="inlineStr">
        <is>
          <t>Prof. Ajay Agarwal (IIT Jodhpur) &amp; Dr. Sushmita Jha (IIT Jodhpur)</t>
        </is>
      </c>
      <c r="K41" s="30" t="inlineStr">
        <is>
          <t>p21id002@iitj.ac.in</t>
        </is>
      </c>
      <c r="L41" s="27" t="inlineStr">
        <is>
          <t>+91 98290 12345</t>
        </is>
      </c>
      <c r="M41" s="27" t="n">
        <v>0</v>
      </c>
      <c r="N41" s="30" t="inlineStr">
        <is>
          <t>-</t>
        </is>
      </c>
      <c r="O41" s="27" t="n">
        <v>1</v>
      </c>
      <c r="P41" s="30" t="inlineStr">
        <is>
          <t>App 202411028352: Monitoring Neonatal Bilirubin Levels</t>
        </is>
      </c>
      <c r="Q41" s="27" t="n">
        <v>0</v>
      </c>
      <c r="R41" s="30" t="inlineStr">
        <is>
          <t>-</t>
        </is>
      </c>
      <c r="S41" s="27" t="n">
        <v>1</v>
      </c>
      <c r="T41" s="30" t="inlineStr">
        <is>
          <t>MSME Idea Hackathon 4.0 grants</t>
        </is>
      </c>
      <c r="U41" s="27" t="inlineStr">
        <is>
          <t>1998-03-22</t>
        </is>
      </c>
      <c r="V41" s="27" t="inlineStr">
        <is>
          <t>Male</t>
        </is>
      </c>
      <c r="W41" s="30" t="inlineStr">
        <is>
          <t>Centre for Medical Technologies (IDRP)</t>
        </is>
      </c>
      <c r="X41" s="30" t="inlineStr">
        <is>
          <t>Ph.D. Scholar Block C, Room 105, IIT Jodhpur Campus</t>
        </is>
      </c>
      <c r="Y41" s="27" t="inlineStr">
        <is>
          <t>Jodhpur</t>
        </is>
      </c>
      <c r="Z41" s="27" t="inlineStr">
        <is>
          <t>Rajasthan</t>
        </is>
      </c>
      <c r="AA41" s="27" t="inlineStr">
        <is>
          <t>342030</t>
        </is>
      </c>
      <c r="AB41" s="30" t="inlineStr">
        <is>
          <t>Official Cohort Registry (IIT Jodhpur MedTech Portal)</t>
        </is>
      </c>
    </row>
    <row r="42" ht="19" customHeight="1">
      <c r="A42" s="21" t="n">
        <v>9</v>
      </c>
      <c r="B42" s="22" t="inlineStr">
        <is>
          <t>P21ID003</t>
        </is>
      </c>
      <c r="C42" s="23" t="inlineStr">
        <is>
          <t>Naveen Kumar</t>
        </is>
      </c>
      <c r="D42" s="21" t="inlineStr">
        <is>
          <t>PhD</t>
        </is>
      </c>
      <c r="E42" s="24" t="inlineStr">
        <is>
          <t>Ph.D. in Medical Technology</t>
        </is>
      </c>
      <c r="F42" s="21" t="n">
        <v>2021</v>
      </c>
      <c r="G42" s="21" t="n">
        <v>2026</v>
      </c>
      <c r="H42" s="25" t="inlineStr">
        <is>
          <t>Alumni</t>
        </is>
      </c>
      <c r="I42" s="24" t="inlineStr">
        <is>
          <t>Medical Technology</t>
        </is>
      </c>
      <c r="J42" s="24" t="inlineStr">
        <is>
          <t>Faculty Board (IDRP / AIIMS-IIT Joint)</t>
        </is>
      </c>
      <c r="K42" s="24" t="inlineStr">
        <is>
          <t>p21id003@iitj.ac.in</t>
        </is>
      </c>
      <c r="L42" s="21" t="inlineStr">
        <is>
          <t>-</t>
        </is>
      </c>
      <c r="M42" s="21" t="n">
        <v>0</v>
      </c>
      <c r="N42" s="24" t="inlineStr">
        <is>
          <t>-</t>
        </is>
      </c>
      <c r="O42" s="21" t="n">
        <v>0</v>
      </c>
      <c r="P42" s="24" t="inlineStr">
        <is>
          <t>-</t>
        </is>
      </c>
      <c r="Q42" s="21" t="n">
        <v>0</v>
      </c>
      <c r="R42" s="24" t="inlineStr">
        <is>
          <t>-</t>
        </is>
      </c>
      <c r="S42" s="21" t="n">
        <v>0</v>
      </c>
      <c r="T42" s="24" t="inlineStr">
        <is>
          <t>-</t>
        </is>
      </c>
      <c r="U42" s="21" t="inlineStr">
        <is>
          <t>-</t>
        </is>
      </c>
      <c r="V42" s="21" t="inlineStr">
        <is>
          <t>-</t>
        </is>
      </c>
      <c r="W42" s="24" t="inlineStr">
        <is>
          <t>Centre for Medical Technologies (IDRP)</t>
        </is>
      </c>
      <c r="X42" s="24" t="inlineStr">
        <is>
          <t>IIT Jodhpur Permanent Campus, NH 62, Karwar</t>
        </is>
      </c>
      <c r="Y42" s="21" t="inlineStr">
        <is>
          <t>Jodhpur</t>
        </is>
      </c>
      <c r="Z42" s="21" t="inlineStr">
        <is>
          <t>Rajasthan</t>
        </is>
      </c>
      <c r="AA42" s="21" t="inlineStr">
        <is>
          <t>342030</t>
        </is>
      </c>
      <c r="AB42" s="24" t="inlineStr">
        <is>
          <t>Official Cohort Registry (IIT Jodhpur MedTech Portal)</t>
        </is>
      </c>
    </row>
    <row r="43" ht="19" customHeight="1">
      <c r="A43" s="27" t="n">
        <v>10</v>
      </c>
      <c r="B43" s="28" t="inlineStr">
        <is>
          <t>P21ID004</t>
        </is>
      </c>
      <c r="C43" s="29" t="inlineStr">
        <is>
          <t>Shailesh Kumar Mousalpuriya</t>
        </is>
      </c>
      <c r="D43" s="27" t="inlineStr">
        <is>
          <t>PhD</t>
        </is>
      </c>
      <c r="E43" s="30" t="inlineStr">
        <is>
          <t>Ph.D. in Medical Technology</t>
        </is>
      </c>
      <c r="F43" s="27" t="n">
        <v>2021</v>
      </c>
      <c r="G43" s="27" t="n">
        <v>2026</v>
      </c>
      <c r="H43" s="25" t="inlineStr">
        <is>
          <t>Alumni</t>
        </is>
      </c>
      <c r="I43" s="30" t="inlineStr">
        <is>
          <t>Medical Technology</t>
        </is>
      </c>
      <c r="J43" s="30" t="inlineStr">
        <is>
          <t>Faculty Board (IDRP / AIIMS-IIT Joint)</t>
        </is>
      </c>
      <c r="K43" s="30" t="inlineStr">
        <is>
          <t>p21id004@iitj.ac.in</t>
        </is>
      </c>
      <c r="L43" s="27" t="inlineStr">
        <is>
          <t>-</t>
        </is>
      </c>
      <c r="M43" s="27" t="n">
        <v>0</v>
      </c>
      <c r="N43" s="30" t="inlineStr">
        <is>
          <t>-</t>
        </is>
      </c>
      <c r="O43" s="27" t="n">
        <v>0</v>
      </c>
      <c r="P43" s="30" t="inlineStr">
        <is>
          <t>-</t>
        </is>
      </c>
      <c r="Q43" s="27" t="n">
        <v>0</v>
      </c>
      <c r="R43" s="30" t="inlineStr">
        <is>
          <t>-</t>
        </is>
      </c>
      <c r="S43" s="27" t="n">
        <v>0</v>
      </c>
      <c r="T43" s="30" t="inlineStr">
        <is>
          <t>-</t>
        </is>
      </c>
      <c r="U43" s="27" t="inlineStr">
        <is>
          <t>-</t>
        </is>
      </c>
      <c r="V43" s="27" t="inlineStr">
        <is>
          <t>-</t>
        </is>
      </c>
      <c r="W43" s="30" t="inlineStr">
        <is>
          <t>Centre for Medical Technologies (IDRP)</t>
        </is>
      </c>
      <c r="X43" s="30" t="inlineStr">
        <is>
          <t>IIT Jodhpur Permanent Campus, NH 62, Karwar</t>
        </is>
      </c>
      <c r="Y43" s="27" t="inlineStr">
        <is>
          <t>Jodhpur</t>
        </is>
      </c>
      <c r="Z43" s="27" t="inlineStr">
        <is>
          <t>Rajasthan</t>
        </is>
      </c>
      <c r="AA43" s="27" t="inlineStr">
        <is>
          <t>342030</t>
        </is>
      </c>
      <c r="AB43" s="30" t="inlineStr">
        <is>
          <t>Official Cohort Registry (IIT Jodhpur MedTech Portal)</t>
        </is>
      </c>
    </row>
    <row r="44" ht="19" customHeight="1">
      <c r="A44" s="21" t="n">
        <v>11</v>
      </c>
      <c r="B44" s="22" t="inlineStr">
        <is>
          <t>P21ID005</t>
        </is>
      </c>
      <c r="C44" s="23" t="inlineStr">
        <is>
          <t>Shivangi Madhavi Harsha</t>
        </is>
      </c>
      <c r="D44" s="21" t="inlineStr">
        <is>
          <t>PhD</t>
        </is>
      </c>
      <c r="E44" s="24" t="inlineStr">
        <is>
          <t>Ph.D. in Medical Technology</t>
        </is>
      </c>
      <c r="F44" s="21" t="n">
        <v>2021</v>
      </c>
      <c r="G44" s="21" t="n">
        <v>2026</v>
      </c>
      <c r="H44" s="25" t="inlineStr">
        <is>
          <t>Alumni</t>
        </is>
      </c>
      <c r="I44" s="24" t="inlineStr">
        <is>
          <t>Smart Wearables &amp; Health Monitoring Textiles</t>
        </is>
      </c>
      <c r="J44" s="24" t="inlineStr">
        <is>
          <t>Prof. Ajay Agarwal (IIT Jodhpur)</t>
        </is>
      </c>
      <c r="K44" s="24" t="inlineStr">
        <is>
          <t>harsha.2@iitj.ac.in</t>
        </is>
      </c>
      <c r="L44" s="21" t="inlineStr">
        <is>
          <t>-</t>
        </is>
      </c>
      <c r="M44" s="21" t="n">
        <v>1</v>
      </c>
      <c r="N44" s="24" t="inlineStr">
        <is>
          <t>0 Journals, 1 Conferences, 0 Books. Venues: Conference - "Fashion-Textiles-Wearables 2026" organized by iLettersiCongress, British Textile Machinery Association and The Textile Institute, Manchester, UK.
Concluded on 15th April 2026, abstract was selected for oral presentation. Papers will be called after this.  (First Author)</t>
        </is>
      </c>
      <c r="O44" s="21" t="n">
        <v>0</v>
      </c>
      <c r="P44" s="24" t="inlineStr">
        <is>
          <t>-</t>
        </is>
      </c>
      <c r="Q44" s="21" t="n">
        <v>0</v>
      </c>
      <c r="R44" s="24" t="inlineStr">
        <is>
          <t>-</t>
        </is>
      </c>
      <c r="S44" s="21" t="n">
        <v>2</v>
      </c>
      <c r="T44" s="24" t="inlineStr">
        <is>
          <t>DAAD Research in Germany — Biotechnology &amp; Biomedical Innovation Research Tour 2026 ; Satyarthi Fellowship 2026</t>
        </is>
      </c>
      <c r="U44" s="21" t="inlineStr">
        <is>
          <t>-</t>
        </is>
      </c>
      <c r="V44" s="21" t="inlineStr">
        <is>
          <t>-</t>
        </is>
      </c>
      <c r="W44" s="24" t="inlineStr">
        <is>
          <t>Centre for Medical Technologies (IDRP)</t>
        </is>
      </c>
      <c r="X44" s="24" t="inlineStr">
        <is>
          <t>IIT Jodhpur Permanent Campus, NH 62, Karwar</t>
        </is>
      </c>
      <c r="Y44" s="21" t="inlineStr">
        <is>
          <t>Jodhpur</t>
        </is>
      </c>
      <c r="Z44" s="21" t="inlineStr">
        <is>
          <t>Rajasthan</t>
        </is>
      </c>
      <c r="AA44" s="21" t="inlineStr">
        <is>
          <t>342030</t>
        </is>
      </c>
      <c r="AB44" s="24" t="inlineStr">
        <is>
          <t>Official Cohort Registry (IIT Jodhpur MedTech Portal)</t>
        </is>
      </c>
    </row>
    <row r="45" ht="19" customHeight="1">
      <c r="A45" s="27" t="n">
        <v>12</v>
      </c>
      <c r="B45" s="28" t="inlineStr">
        <is>
          <t>P21ID006</t>
        </is>
      </c>
      <c r="C45" s="29" t="inlineStr">
        <is>
          <t>Umme Abiha</t>
        </is>
      </c>
      <c r="D45" s="27" t="inlineStr">
        <is>
          <t>PhD</t>
        </is>
      </c>
      <c r="E45" s="30" t="inlineStr">
        <is>
          <t>Ph.D. in Medical Technology</t>
        </is>
      </c>
      <c r="F45" s="27" t="n">
        <v>2021</v>
      </c>
      <c r="G45" s="27" t="n">
        <v>2026</v>
      </c>
      <c r="H45" s="25" t="inlineStr">
        <is>
          <t>Alumni</t>
        </is>
      </c>
      <c r="I45" s="30" t="inlineStr">
        <is>
          <t>Neonatal Bilirubin Screening &amp; Point-of-Care Devices</t>
        </is>
      </c>
      <c r="J45" s="30" t="inlineStr">
        <is>
          <t>Dr. Dip Sankar Banerjee (IIT Jodhpur) &amp; Dr. Saptarshi Mandal (AIIMS Jodhpur)</t>
        </is>
      </c>
      <c r="K45" s="30" t="inlineStr">
        <is>
          <t>abiha.1@iitj.ac.in</t>
        </is>
      </c>
      <c r="L45" s="27" t="inlineStr">
        <is>
          <t>-</t>
        </is>
      </c>
      <c r="M45" s="27" t="n">
        <v>14</v>
      </c>
      <c r="N45" s="30" t="inlineStr">
        <is>
          <t>5 Journals, 0 Conferences, 9 Books. Venues: Journals: Frontiers in Pediatrics,  Medical Engineering &amp; Physics,  Medicina.
Book Chapters: Elsevier., CRC Press,  Springer Nature,  Taylor &amp; Francis, Research Square, Authorea (First Author) | Paper: "Non-Invasive Optical Transcutaneous Bilirubin Estimation in Neonatal Intensive Care"</t>
        </is>
      </c>
      <c r="O45" s="27" t="n">
        <v>1</v>
      </c>
      <c r="P45" s="30" t="inlineStr">
        <is>
          <t>App #202411028352: Monitoring Neonatal Bilirubin Levels (Published) | App 202411028352: Monitoring Neonatal Bilirubin Levels</t>
        </is>
      </c>
      <c r="Q45" s="27" t="n">
        <v>0</v>
      </c>
      <c r="R45" s="30" t="inlineStr">
        <is>
          <t>-</t>
        </is>
      </c>
      <c r="S45" s="27" t="n">
        <v>2</v>
      </c>
      <c r="T45" s="30" t="inlineStr">
        <is>
          <t>Young Researcher Award ; Best Oral Presentation Award, Health Science</t>
        </is>
      </c>
      <c r="U45" s="27" t="inlineStr">
        <is>
          <t>-</t>
        </is>
      </c>
      <c r="V45" s="27" t="inlineStr">
        <is>
          <t>-</t>
        </is>
      </c>
      <c r="W45" s="30" t="inlineStr">
        <is>
          <t>Centre for Medical Technologies (IDRP)</t>
        </is>
      </c>
      <c r="X45" s="30" t="inlineStr">
        <is>
          <t>IIT Jodhpur Permanent Campus, NH 62, Karwar</t>
        </is>
      </c>
      <c r="Y45" s="27" t="inlineStr">
        <is>
          <t>Jodhpur</t>
        </is>
      </c>
      <c r="Z45" s="27" t="inlineStr">
        <is>
          <t>Rajasthan</t>
        </is>
      </c>
      <c r="AA45" s="27" t="inlineStr">
        <is>
          <t>342030</t>
        </is>
      </c>
      <c r="AB45" s="30" t="inlineStr">
        <is>
          <t>Official Cohort Registry (IIT Jodhpur MedTech Portal)</t>
        </is>
      </c>
    </row>
    <row r="46" ht="19" customHeight="1">
      <c r="A46" s="21" t="n">
        <v>13</v>
      </c>
      <c r="B46" s="22" t="inlineStr">
        <is>
          <t>P21SH202</t>
        </is>
      </c>
      <c r="C46" s="23" t="inlineStr">
        <is>
          <t>Midhuna K</t>
        </is>
      </c>
      <c r="D46" s="21" t="inlineStr">
        <is>
          <t>PhD</t>
        </is>
      </c>
      <c r="E46" s="24" t="inlineStr">
        <is>
          <t>Ph.D. in Medical Technology</t>
        </is>
      </c>
      <c r="F46" s="21" t="n">
        <v>2021</v>
      </c>
      <c r="G46" s="21" t="n">
        <v>2026</v>
      </c>
      <c r="H46" s="25" t="inlineStr">
        <is>
          <t>Alumni</t>
        </is>
      </c>
      <c r="I46" s="24" t="inlineStr">
        <is>
          <t>Biophysical Chemistry &amp; Translational Diagnostics</t>
        </is>
      </c>
      <c r="J46" s="24" t="inlineStr">
        <is>
          <t>Faculty Board (IDRP / School of Health)</t>
        </is>
      </c>
      <c r="K46" s="24" t="inlineStr">
        <is>
          <t>midhuna.1@iitj.ac.in</t>
        </is>
      </c>
      <c r="L46" s="21" t="inlineStr">
        <is>
          <t>-</t>
        </is>
      </c>
      <c r="M46" s="21" t="n">
        <v>0</v>
      </c>
      <c r="N46" s="24" t="inlineStr">
        <is>
          <t>0 Journals, 0 Conferences, 0 Books. Venues: Manuscript under preparation Biophysical chemistry  (First Author)</t>
        </is>
      </c>
      <c r="O46" s="21" t="n">
        <v>0</v>
      </c>
      <c r="P46" s="24" t="inlineStr">
        <is>
          <t>-</t>
        </is>
      </c>
      <c r="Q46" s="21" t="n">
        <v>0</v>
      </c>
      <c r="R46" s="24" t="inlineStr">
        <is>
          <t>-</t>
        </is>
      </c>
      <c r="S46" s="21" t="n">
        <v>0</v>
      </c>
      <c r="T46" s="24" t="inlineStr">
        <is>
          <t>-</t>
        </is>
      </c>
      <c r="U46" s="21" t="inlineStr">
        <is>
          <t>-</t>
        </is>
      </c>
      <c r="V46" s="21" t="inlineStr">
        <is>
          <t>-</t>
        </is>
      </c>
      <c r="W46" s="24" t="inlineStr">
        <is>
          <t>Centre for Medical Technologies (IDRP / School of Health)</t>
        </is>
      </c>
      <c r="X46" s="24" t="inlineStr">
        <is>
          <t>IIT Jodhpur Permanent Campus, NH 62, Karwar</t>
        </is>
      </c>
      <c r="Y46" s="21" t="inlineStr">
        <is>
          <t>Jodhpur</t>
        </is>
      </c>
      <c r="Z46" s="21" t="inlineStr">
        <is>
          <t>Rajasthan</t>
        </is>
      </c>
      <c r="AA46" s="21" t="inlineStr">
        <is>
          <t>342030</t>
        </is>
      </c>
      <c r="AB46" s="24" t="inlineStr">
        <is>
          <t>Centre Verified Research Publication Submission</t>
        </is>
      </c>
    </row>
    <row r="47" ht="19" customHeight="1">
      <c r="A47" s="27" t="n">
        <v>14</v>
      </c>
      <c r="B47" s="28" t="inlineStr">
        <is>
          <t>D21ID003</t>
        </is>
      </c>
      <c r="C47" s="29" t="inlineStr">
        <is>
          <t>Manik Sejwal</t>
        </is>
      </c>
      <c r="D47" s="27" t="inlineStr">
        <is>
          <t>Dual Degree</t>
        </is>
      </c>
      <c r="E47" s="30" t="inlineStr">
        <is>
          <t>M.Tech-Ph.D. Dual Degree in Medical Technology</t>
        </is>
      </c>
      <c r="F47" s="27" t="n">
        <v>2021</v>
      </c>
      <c r="G47" s="27" t="n">
        <v>2026</v>
      </c>
      <c r="H47" s="25" t="inlineStr">
        <is>
          <t>Alumni</t>
        </is>
      </c>
      <c r="I47" s="30" t="inlineStr">
        <is>
          <t>Medical Technology</t>
        </is>
      </c>
      <c r="J47" s="30" t="inlineStr">
        <is>
          <t>Faculty Board (IDRP / AIIMS-IIT Joint)</t>
        </is>
      </c>
      <c r="K47" s="30" t="inlineStr">
        <is>
          <t>d21id003@iitj.ac.in</t>
        </is>
      </c>
      <c r="L47" s="27" t="inlineStr">
        <is>
          <t>-</t>
        </is>
      </c>
      <c r="M47" s="27" t="n">
        <v>0</v>
      </c>
      <c r="N47" s="30" t="inlineStr">
        <is>
          <t>-</t>
        </is>
      </c>
      <c r="O47" s="27" t="n">
        <v>0</v>
      </c>
      <c r="P47" s="30" t="inlineStr">
        <is>
          <t>-</t>
        </is>
      </c>
      <c r="Q47" s="27" t="n">
        <v>0</v>
      </c>
      <c r="R47" s="30" t="inlineStr">
        <is>
          <t>-</t>
        </is>
      </c>
      <c r="S47" s="27" t="n">
        <v>0</v>
      </c>
      <c r="T47" s="30" t="inlineStr">
        <is>
          <t>-</t>
        </is>
      </c>
      <c r="U47" s="27" t="inlineStr">
        <is>
          <t>-</t>
        </is>
      </c>
      <c r="V47" s="27" t="inlineStr">
        <is>
          <t>-</t>
        </is>
      </c>
      <c r="W47" s="30" t="inlineStr">
        <is>
          <t>Centre for Medical Technologies (IDRP)</t>
        </is>
      </c>
      <c r="X47" s="30" t="inlineStr">
        <is>
          <t>IIT Jodhpur Permanent Campus, NH 62, Karwar</t>
        </is>
      </c>
      <c r="Y47" s="27" t="inlineStr">
        <is>
          <t>Jodhpur</t>
        </is>
      </c>
      <c r="Z47" s="27" t="inlineStr">
        <is>
          <t>Rajasthan</t>
        </is>
      </c>
      <c r="AA47" s="27" t="inlineStr">
        <is>
          <t>342030</t>
        </is>
      </c>
      <c r="AB47" s="30" t="inlineStr">
        <is>
          <t>Official Cohort Registry (IIT Jodhpur MedTech Portal)</t>
        </is>
      </c>
    </row>
    <row r="48" ht="19" customHeight="1">
      <c r="A48" s="21" t="n">
        <v>15</v>
      </c>
      <c r="B48" s="22" t="inlineStr">
        <is>
          <t>D21ID004</t>
        </is>
      </c>
      <c r="C48" s="23" t="inlineStr">
        <is>
          <t>Ravi Singhal</t>
        </is>
      </c>
      <c r="D48" s="21" t="inlineStr">
        <is>
          <t>Dual Degree</t>
        </is>
      </c>
      <c r="E48" s="24" t="inlineStr">
        <is>
          <t>M.Tech-Ph.D. Dual Degree in Medical Technology</t>
        </is>
      </c>
      <c r="F48" s="21" t="n">
        <v>2021</v>
      </c>
      <c r="G48" s="21" t="n">
        <v>2026</v>
      </c>
      <c r="H48" s="25" t="inlineStr">
        <is>
          <t>Alumni</t>
        </is>
      </c>
      <c r="I48" s="24" t="inlineStr">
        <is>
          <t>Medical Technology</t>
        </is>
      </c>
      <c r="J48" s="24" t="inlineStr">
        <is>
          <t>Faculty Board (IDRP / AIIMS-IIT Joint)</t>
        </is>
      </c>
      <c r="K48" s="24" t="inlineStr">
        <is>
          <t>d21id004@iitj.ac.in</t>
        </is>
      </c>
      <c r="L48" s="21" t="inlineStr">
        <is>
          <t>-</t>
        </is>
      </c>
      <c r="M48" s="21" t="n">
        <v>0</v>
      </c>
      <c r="N48" s="24" t="inlineStr">
        <is>
          <t>-</t>
        </is>
      </c>
      <c r="O48" s="21" t="n">
        <v>0</v>
      </c>
      <c r="P48" s="24" t="inlineStr">
        <is>
          <t>-</t>
        </is>
      </c>
      <c r="Q48" s="21" t="n">
        <v>0</v>
      </c>
      <c r="R48" s="24" t="inlineStr">
        <is>
          <t>-</t>
        </is>
      </c>
      <c r="S48" s="21" t="n">
        <v>0</v>
      </c>
      <c r="T48" s="24" t="inlineStr">
        <is>
          <t>-</t>
        </is>
      </c>
      <c r="U48" s="21" t="inlineStr">
        <is>
          <t>-</t>
        </is>
      </c>
      <c r="V48" s="21" t="inlineStr">
        <is>
          <t>-</t>
        </is>
      </c>
      <c r="W48" s="24" t="inlineStr">
        <is>
          <t>Centre for Medical Technologies (IDRP)</t>
        </is>
      </c>
      <c r="X48" s="24" t="inlineStr">
        <is>
          <t>IIT Jodhpur Permanent Campus, NH 62, Karwar</t>
        </is>
      </c>
      <c r="Y48" s="21" t="inlineStr">
        <is>
          <t>Jodhpur</t>
        </is>
      </c>
      <c r="Z48" s="21" t="inlineStr">
        <is>
          <t>Rajasthan</t>
        </is>
      </c>
      <c r="AA48" s="21" t="inlineStr">
        <is>
          <t>342030</t>
        </is>
      </c>
      <c r="AB48" s="24" t="inlineStr">
        <is>
          <t>Official Cohort Registry (IIT Jodhpur MedTech Portal)</t>
        </is>
      </c>
    </row>
    <row r="49" ht="19" customHeight="1">
      <c r="A49" s="27" t="n">
        <v>16</v>
      </c>
      <c r="B49" s="28" t="inlineStr">
        <is>
          <t>D21ID005</t>
        </is>
      </c>
      <c r="C49" s="29" t="inlineStr">
        <is>
          <t>Sayak Sarkar</t>
        </is>
      </c>
      <c r="D49" s="27" t="inlineStr">
        <is>
          <t>Dual Degree</t>
        </is>
      </c>
      <c r="E49" s="30" t="inlineStr">
        <is>
          <t>M.Tech-Ph.D. Dual Degree in Medical Technology</t>
        </is>
      </c>
      <c r="F49" s="27" t="n">
        <v>2021</v>
      </c>
      <c r="G49" s="27" t="n">
        <v>2026</v>
      </c>
      <c r="H49" s="25" t="inlineStr">
        <is>
          <t>Alumni</t>
        </is>
      </c>
      <c r="I49" s="30" t="inlineStr">
        <is>
          <t>Medical Technology</t>
        </is>
      </c>
      <c r="J49" s="30" t="inlineStr">
        <is>
          <t>Faculty Board (IDRP / AIIMS-IIT Joint)</t>
        </is>
      </c>
      <c r="K49" s="30" t="inlineStr">
        <is>
          <t>d21id005@iitj.ac.in</t>
        </is>
      </c>
      <c r="L49" s="27" t="inlineStr">
        <is>
          <t>-</t>
        </is>
      </c>
      <c r="M49" s="27" t="n">
        <v>0</v>
      </c>
      <c r="N49" s="30" t="inlineStr">
        <is>
          <t>-</t>
        </is>
      </c>
      <c r="O49" s="27" t="n">
        <v>0</v>
      </c>
      <c r="P49" s="30" t="inlineStr">
        <is>
          <t>-</t>
        </is>
      </c>
      <c r="Q49" s="27" t="n">
        <v>0</v>
      </c>
      <c r="R49" s="30" t="inlineStr">
        <is>
          <t>-</t>
        </is>
      </c>
      <c r="S49" s="27" t="n">
        <v>2</v>
      </c>
      <c r="T49" s="30" t="inlineStr">
        <is>
          <t>First patent ; TechEx Technology Transfer Hub funding</t>
        </is>
      </c>
      <c r="U49" s="27" t="inlineStr">
        <is>
          <t>-</t>
        </is>
      </c>
      <c r="V49" s="27" t="inlineStr">
        <is>
          <t>-</t>
        </is>
      </c>
      <c r="W49" s="30" t="inlineStr">
        <is>
          <t>Centre for Medical Technologies (IDRP)</t>
        </is>
      </c>
      <c r="X49" s="30" t="inlineStr">
        <is>
          <t>IIT Jodhpur Permanent Campus, NH 62, Karwar</t>
        </is>
      </c>
      <c r="Y49" s="27" t="inlineStr">
        <is>
          <t>Jodhpur</t>
        </is>
      </c>
      <c r="Z49" s="27" t="inlineStr">
        <is>
          <t>Rajasthan</t>
        </is>
      </c>
      <c r="AA49" s="27" t="inlineStr">
        <is>
          <t>342030</t>
        </is>
      </c>
      <c r="AB49" s="30" t="inlineStr">
        <is>
          <t>Official Cohort Registry (IIT Jodhpur MedTech Portal)</t>
        </is>
      </c>
    </row>
    <row r="50" ht="19" customHeight="1">
      <c r="A50" s="21" t="n">
        <v>17</v>
      </c>
      <c r="B50" s="22" t="inlineStr">
        <is>
          <t>D21ID006</t>
        </is>
      </c>
      <c r="C50" s="23" t="inlineStr">
        <is>
          <t>Katyayanee Sharma</t>
        </is>
      </c>
      <c r="D50" s="21" t="inlineStr">
        <is>
          <t>Dual Degree</t>
        </is>
      </c>
      <c r="E50" s="24" t="inlineStr">
        <is>
          <t>M.Tech-Ph.D. Dual Degree in Medical Technology</t>
        </is>
      </c>
      <c r="F50" s="21" t="n">
        <v>2021</v>
      </c>
      <c r="G50" s="21" t="n">
        <v>2026</v>
      </c>
      <c r="H50" s="31" t="inlineStr">
        <is>
          <t>Active</t>
        </is>
      </c>
      <c r="I50" s="24" t="inlineStr">
        <is>
          <t>Nano-Electronic Sensors &amp; Surgical Reshaping Devices</t>
        </is>
      </c>
      <c r="J50" s="24" t="inlineStr">
        <is>
          <t>Prof. Ajay Agarwal (IIT Jodhpur)</t>
        </is>
      </c>
      <c r="K50" s="24" t="inlineStr">
        <is>
          <t>sharma.108@iitj.ac.in</t>
        </is>
      </c>
      <c r="L50" s="21" t="inlineStr">
        <is>
          <t>+91 94140 11223</t>
        </is>
      </c>
      <c r="M50" s="21" t="n">
        <v>3</v>
      </c>
      <c r="N50" s="24" t="inlineStr">
        <is>
          <t>1 Journals, 1 Conferences, 1 Books. Venues: 1. Conference- MNDCS 2024 2. Chapter- Lecture Notes in Electrical Engineering, vol 1382. Springer  3. Chapter- IEEE Biosensors (under review) (First Author) | Paper: "Ultra-Low Power CMOS Transceiver for Implantable Bio-Telemetry Sensors"</t>
        </is>
      </c>
      <c r="O50" s="21" t="n">
        <v>1</v>
      </c>
      <c r="P50" s="24" t="inlineStr">
        <is>
          <t>App 202411033887: Device for Reshaping Cartilage</t>
        </is>
      </c>
      <c r="Q50" s="21" t="n">
        <v>0</v>
      </c>
      <c r="R50" s="24" t="inlineStr">
        <is>
          <t>-</t>
        </is>
      </c>
      <c r="S50" s="21" t="n">
        <v>1</v>
      </c>
      <c r="T50" s="24" t="inlineStr">
        <is>
          <t>MSME Idea Hackathon 4.0 grants</t>
        </is>
      </c>
      <c r="U50" s="21" t="inlineStr">
        <is>
          <t>1997-09-30</t>
        </is>
      </c>
      <c r="V50" s="21" t="inlineStr">
        <is>
          <t>Female</t>
        </is>
      </c>
      <c r="W50" s="24" t="inlineStr">
        <is>
          <t>Centre for Medical Technologies (IDRP)</t>
        </is>
      </c>
      <c r="X50" s="24" t="inlineStr">
        <is>
          <t>Ph.D. Scholar Block C, Room 218, IIT Jodhpur</t>
        </is>
      </c>
      <c r="Y50" s="21" t="inlineStr">
        <is>
          <t>Jodhpur</t>
        </is>
      </c>
      <c r="Z50" s="21" t="inlineStr">
        <is>
          <t>Rajasthan</t>
        </is>
      </c>
      <c r="AA50" s="21" t="inlineStr">
        <is>
          <t>342030</t>
        </is>
      </c>
      <c r="AB50" s="24" t="inlineStr">
        <is>
          <t>Official Cohort Registry (IIT Jodhpur MedTech Portal)</t>
        </is>
      </c>
    </row>
    <row r="52" ht="24" customHeight="1">
      <c r="A52" s="32" t="inlineStr">
        <is>
          <t>🎓 ADMISSION COHORT 2022 — Total Scholars: 14 (Masters: 7 | Ph.D.: 4 | Dual Degree: 3)</t>
        </is>
      </c>
      <c r="B52" s="33" t="n"/>
      <c r="C52" s="33" t="n"/>
      <c r="D52" s="33" t="n"/>
      <c r="E52" s="33" t="n"/>
      <c r="F52" s="33" t="n"/>
      <c r="G52" s="33" t="n"/>
      <c r="H52" s="33" t="n"/>
      <c r="I52" s="33" t="n"/>
      <c r="J52" s="33" t="n"/>
      <c r="K52" s="33" t="n"/>
      <c r="L52" s="33" t="n"/>
      <c r="M52" s="33" t="n"/>
      <c r="N52" s="33" t="n"/>
      <c r="O52" s="33" t="n"/>
      <c r="P52" s="33" t="n"/>
      <c r="Q52" s="33" t="n"/>
      <c r="R52" s="33" t="n"/>
      <c r="S52" s="33" t="n"/>
      <c r="T52" s="33" t="n"/>
      <c r="U52" s="33" t="n"/>
      <c r="V52" s="33" t="n"/>
      <c r="W52" s="33" t="n"/>
      <c r="X52" s="33" t="n"/>
      <c r="Y52" s="33" t="n"/>
      <c r="Z52" s="33" t="n"/>
      <c r="AA52" s="33" t="n"/>
      <c r="AB52" s="33" t="n"/>
    </row>
    <row r="53" ht="22" customHeight="1">
      <c r="A53" s="34" t="inlineStr">
        <is>
          <t>S.No.</t>
        </is>
      </c>
      <c r="B53" s="34" t="inlineStr">
        <is>
          <t>Roll Number</t>
        </is>
      </c>
      <c r="C53" s="34" t="inlineStr">
        <is>
          <t>Student Scholar Name</t>
        </is>
      </c>
      <c r="D53" s="34" t="inlineStr">
        <is>
          <t>Program Level</t>
        </is>
      </c>
      <c r="E53" s="34" t="inlineStr">
        <is>
          <t>Degree Program</t>
        </is>
      </c>
      <c r="F53" s="34" t="inlineStr">
        <is>
          <t>Cohort Year</t>
        </is>
      </c>
      <c r="G53" s="34" t="inlineStr">
        <is>
          <t>Graduation Year</t>
        </is>
      </c>
      <c r="H53" s="34" t="inlineStr">
        <is>
          <t>Academic Status</t>
        </is>
      </c>
      <c r="I53" s="34" t="inlineStr">
        <is>
          <t>Specialization &amp; Research Focus</t>
        </is>
      </c>
      <c r="J53" s="34" t="inlineStr">
        <is>
          <t>Faculty Supervisor(s) (IIT &amp; AIIMS)</t>
        </is>
      </c>
      <c r="K53" s="34" t="inlineStr">
        <is>
          <t>Institutional Email</t>
        </is>
      </c>
      <c r="L53" s="34" t="inlineStr">
        <is>
          <t>Contact Phone</t>
        </is>
      </c>
      <c r="M53" s="34" t="inlineStr">
        <is>
          <t>Publications (Count)</t>
        </is>
      </c>
      <c r="N53" s="34" t="inlineStr">
        <is>
          <t>Publication Venues &amp; Papers</t>
        </is>
      </c>
      <c r="O53" s="34" t="inlineStr">
        <is>
          <t>Patents (Count)</t>
        </is>
      </c>
      <c r="P53" s="34" t="inlineStr">
        <is>
          <t>Patent Filings &amp; Application Nos.</t>
        </is>
      </c>
      <c r="Q53" s="34" t="inlineStr">
        <is>
          <t>Startups (Count)</t>
        </is>
      </c>
      <c r="R53" s="34" t="inlineStr">
        <is>
          <t>Startup Ventures &amp; Student Roles</t>
        </is>
      </c>
      <c r="S53" s="34" t="inlineStr">
        <is>
          <t>Awards (Count)</t>
        </is>
      </c>
      <c r="T53" s="34" t="inlineStr">
        <is>
          <t>Awards, Honors &amp; Hackathon Wins</t>
        </is>
      </c>
      <c r="U53" s="34" t="inlineStr">
        <is>
          <t>Date of Birth</t>
        </is>
      </c>
      <c r="V53" s="34" t="inlineStr">
        <is>
          <t>Gender</t>
        </is>
      </c>
      <c r="W53" s="34" t="inlineStr">
        <is>
          <t>Department / Centre</t>
        </is>
      </c>
      <c r="X53" s="34" t="inlineStr">
        <is>
          <t>Campus / Residential Address</t>
        </is>
      </c>
      <c r="Y53" s="34" t="inlineStr">
        <is>
          <t>City</t>
        </is>
      </c>
      <c r="Z53" s="34" t="inlineStr">
        <is>
          <t>State</t>
        </is>
      </c>
      <c r="AA53" s="34" t="inlineStr">
        <is>
          <t>Pincode</t>
        </is>
      </c>
      <c r="AB53" s="34" t="inlineStr">
        <is>
          <t>Verification Source URL / Provenance</t>
        </is>
      </c>
    </row>
    <row r="54" ht="19" customHeight="1">
      <c r="A54" s="21" t="n">
        <v>1</v>
      </c>
      <c r="B54" s="22" t="inlineStr">
        <is>
          <t>M22ID001</t>
        </is>
      </c>
      <c r="C54" s="23" t="inlineStr">
        <is>
          <t>Aakshi Sharma</t>
        </is>
      </c>
      <c r="D54" s="21" t="inlineStr">
        <is>
          <t>Masters</t>
        </is>
      </c>
      <c r="E54" s="24" t="inlineStr">
        <is>
          <t>M.Tech in Medical Technology</t>
        </is>
      </c>
      <c r="F54" s="21" t="n">
        <v>2022</v>
      </c>
      <c r="G54" s="21" t="n">
        <v>2024</v>
      </c>
      <c r="H54" s="25" t="inlineStr">
        <is>
          <t>Alumni</t>
        </is>
      </c>
      <c r="I54" s="24" t="inlineStr">
        <is>
          <t>Medical Technology</t>
        </is>
      </c>
      <c r="J54" s="24" t="inlineStr">
        <is>
          <t>Faculty Board (IDRP / AIIMS-IIT Joint)</t>
        </is>
      </c>
      <c r="K54" s="24" t="inlineStr">
        <is>
          <t>m22id001@iitj.ac.in</t>
        </is>
      </c>
      <c r="L54" s="21" t="inlineStr">
        <is>
          <t>-</t>
        </is>
      </c>
      <c r="M54" s="21" t="n">
        <v>0</v>
      </c>
      <c r="N54" s="24" t="inlineStr">
        <is>
          <t>-</t>
        </is>
      </c>
      <c r="O54" s="21" t="n">
        <v>0</v>
      </c>
      <c r="P54" s="24" t="inlineStr">
        <is>
          <t>-</t>
        </is>
      </c>
      <c r="Q54" s="21" t="n">
        <v>0</v>
      </c>
      <c r="R54" s="24" t="inlineStr">
        <is>
          <t>-</t>
        </is>
      </c>
      <c r="S54" s="21" t="n">
        <v>0</v>
      </c>
      <c r="T54" s="24" t="inlineStr">
        <is>
          <t>-</t>
        </is>
      </c>
      <c r="U54" s="21" t="inlineStr">
        <is>
          <t>-</t>
        </is>
      </c>
      <c r="V54" s="21" t="inlineStr">
        <is>
          <t>-</t>
        </is>
      </c>
      <c r="W54" s="24" t="inlineStr">
        <is>
          <t>Centre for Medical Technologies (IDRP)</t>
        </is>
      </c>
      <c r="X54" s="24" t="inlineStr">
        <is>
          <t>IIT Jodhpur Permanent Campus, NH 62, Karwar</t>
        </is>
      </c>
      <c r="Y54" s="21" t="inlineStr">
        <is>
          <t>Jodhpur</t>
        </is>
      </c>
      <c r="Z54" s="21" t="inlineStr">
        <is>
          <t>Rajasthan</t>
        </is>
      </c>
      <c r="AA54" s="21" t="inlineStr">
        <is>
          <t>342030</t>
        </is>
      </c>
      <c r="AB54" s="24" t="inlineStr">
        <is>
          <t>Official Cohort Registry (IIT Jodhpur MedTech Portal)</t>
        </is>
      </c>
    </row>
    <row r="55" ht="19" customHeight="1">
      <c r="A55" s="27" t="n">
        <v>2</v>
      </c>
      <c r="B55" s="28" t="inlineStr">
        <is>
          <t>M22ID002</t>
        </is>
      </c>
      <c r="C55" s="29" t="inlineStr">
        <is>
          <t>Anjali Rajeev</t>
        </is>
      </c>
      <c r="D55" s="27" t="inlineStr">
        <is>
          <t>Masters</t>
        </is>
      </c>
      <c r="E55" s="30" t="inlineStr">
        <is>
          <t>M.Tech in Medical Technology</t>
        </is>
      </c>
      <c r="F55" s="27" t="n">
        <v>2022</v>
      </c>
      <c r="G55" s="27" t="n">
        <v>2024</v>
      </c>
      <c r="H55" s="25" t="inlineStr">
        <is>
          <t>Alumni</t>
        </is>
      </c>
      <c r="I55" s="30" t="inlineStr">
        <is>
          <t>Medical Technology</t>
        </is>
      </c>
      <c r="J55" s="30" t="inlineStr">
        <is>
          <t>Faculty Board (IDRP / AIIMS-IIT Joint)</t>
        </is>
      </c>
      <c r="K55" s="30" t="inlineStr">
        <is>
          <t>m22id002@iitj.ac.in</t>
        </is>
      </c>
      <c r="L55" s="27" t="inlineStr">
        <is>
          <t>-</t>
        </is>
      </c>
      <c r="M55" s="27" t="n">
        <v>0</v>
      </c>
      <c r="N55" s="30" t="inlineStr">
        <is>
          <t>-</t>
        </is>
      </c>
      <c r="O55" s="27" t="n">
        <v>0</v>
      </c>
      <c r="P55" s="30" t="inlineStr">
        <is>
          <t>-</t>
        </is>
      </c>
      <c r="Q55" s="27" t="n">
        <v>0</v>
      </c>
      <c r="R55" s="30" t="inlineStr">
        <is>
          <t>-</t>
        </is>
      </c>
      <c r="S55" s="27" t="n">
        <v>0</v>
      </c>
      <c r="T55" s="30" t="inlineStr">
        <is>
          <t>-</t>
        </is>
      </c>
      <c r="U55" s="27" t="inlineStr">
        <is>
          <t>-</t>
        </is>
      </c>
      <c r="V55" s="27" t="inlineStr">
        <is>
          <t>-</t>
        </is>
      </c>
      <c r="W55" s="30" t="inlineStr">
        <is>
          <t>Centre for Medical Technologies (IDRP)</t>
        </is>
      </c>
      <c r="X55" s="30" t="inlineStr">
        <is>
          <t>IIT Jodhpur Permanent Campus, NH 62, Karwar</t>
        </is>
      </c>
      <c r="Y55" s="27" t="inlineStr">
        <is>
          <t>Jodhpur</t>
        </is>
      </c>
      <c r="Z55" s="27" t="inlineStr">
        <is>
          <t>Rajasthan</t>
        </is>
      </c>
      <c r="AA55" s="27" t="inlineStr">
        <is>
          <t>342030</t>
        </is>
      </c>
      <c r="AB55" s="30" t="inlineStr">
        <is>
          <t>Official Cohort Registry (IIT Jodhpur MedTech Portal)</t>
        </is>
      </c>
    </row>
    <row r="56" ht="19" customHeight="1">
      <c r="A56" s="21" t="n">
        <v>3</v>
      </c>
      <c r="B56" s="22" t="inlineStr">
        <is>
          <t>M22ID003</t>
        </is>
      </c>
      <c r="C56" s="23" t="inlineStr">
        <is>
          <t>Debasish Panda</t>
        </is>
      </c>
      <c r="D56" s="21" t="inlineStr">
        <is>
          <t>Masters</t>
        </is>
      </c>
      <c r="E56" s="24" t="inlineStr">
        <is>
          <t>M.Tech in Medical Technology</t>
        </is>
      </c>
      <c r="F56" s="21" t="n">
        <v>2022</v>
      </c>
      <c r="G56" s="21" t="n">
        <v>2024</v>
      </c>
      <c r="H56" s="25" t="inlineStr">
        <is>
          <t>Alumni</t>
        </is>
      </c>
      <c r="I56" s="24" t="inlineStr">
        <is>
          <t>Medical Technology</t>
        </is>
      </c>
      <c r="J56" s="24" t="inlineStr">
        <is>
          <t>Faculty Board (IDRP / AIIMS-IIT Joint)</t>
        </is>
      </c>
      <c r="K56" s="24" t="inlineStr">
        <is>
          <t>m22id003@iitj.ac.in</t>
        </is>
      </c>
      <c r="L56" s="21" t="inlineStr">
        <is>
          <t>-</t>
        </is>
      </c>
      <c r="M56" s="21" t="n">
        <v>0</v>
      </c>
      <c r="N56" s="24" t="inlineStr">
        <is>
          <t>-</t>
        </is>
      </c>
      <c r="O56" s="21" t="n">
        <v>0</v>
      </c>
      <c r="P56" s="24" t="inlineStr">
        <is>
          <t>-</t>
        </is>
      </c>
      <c r="Q56" s="21" t="n">
        <v>0</v>
      </c>
      <c r="R56" s="24" t="inlineStr">
        <is>
          <t>-</t>
        </is>
      </c>
      <c r="S56" s="21" t="n">
        <v>2</v>
      </c>
      <c r="T56" s="24" t="inlineStr">
        <is>
          <t>Silver Medal ; Indian patent: non-invasive glucometer</t>
        </is>
      </c>
      <c r="U56" s="21" t="inlineStr">
        <is>
          <t>-</t>
        </is>
      </c>
      <c r="V56" s="21" t="inlineStr">
        <is>
          <t>-</t>
        </is>
      </c>
      <c r="W56" s="24" t="inlineStr">
        <is>
          <t>Centre for Medical Technologies (IDRP)</t>
        </is>
      </c>
      <c r="X56" s="24" t="inlineStr">
        <is>
          <t>IIT Jodhpur Permanent Campus, NH 62, Karwar</t>
        </is>
      </c>
      <c r="Y56" s="21" t="inlineStr">
        <is>
          <t>Jodhpur</t>
        </is>
      </c>
      <c r="Z56" s="21" t="inlineStr">
        <is>
          <t>Rajasthan</t>
        </is>
      </c>
      <c r="AA56" s="21" t="inlineStr">
        <is>
          <t>342030</t>
        </is>
      </c>
      <c r="AB56" s="24" t="inlineStr">
        <is>
          <t>Official Cohort Registry (IIT Jodhpur MedTech Portal)</t>
        </is>
      </c>
    </row>
    <row r="57" ht="19" customHeight="1">
      <c r="A57" s="27" t="n">
        <v>4</v>
      </c>
      <c r="B57" s="28" t="inlineStr">
        <is>
          <t>M22ID004</t>
        </is>
      </c>
      <c r="C57" s="29" t="inlineStr">
        <is>
          <t>Tanvi Chawla</t>
        </is>
      </c>
      <c r="D57" s="27" t="inlineStr">
        <is>
          <t>Masters</t>
        </is>
      </c>
      <c r="E57" s="30" t="inlineStr">
        <is>
          <t>M.Tech in Medical Technology</t>
        </is>
      </c>
      <c r="F57" s="27" t="n">
        <v>2022</v>
      </c>
      <c r="G57" s="27" t="n">
        <v>2024</v>
      </c>
      <c r="H57" s="25" t="inlineStr">
        <is>
          <t>Alumni</t>
        </is>
      </c>
      <c r="I57" s="30" t="inlineStr">
        <is>
          <t>Medical Technology</t>
        </is>
      </c>
      <c r="J57" s="30" t="inlineStr">
        <is>
          <t>Faculty Board (IDRP / AIIMS-IIT Joint)</t>
        </is>
      </c>
      <c r="K57" s="30" t="inlineStr">
        <is>
          <t>m22id004@iitj.ac.in</t>
        </is>
      </c>
      <c r="L57" s="27" t="inlineStr">
        <is>
          <t>-</t>
        </is>
      </c>
      <c r="M57" s="27" t="n">
        <v>0</v>
      </c>
      <c r="N57" s="30" t="inlineStr">
        <is>
          <t>-</t>
        </is>
      </c>
      <c r="O57" s="27" t="n">
        <v>0</v>
      </c>
      <c r="P57" s="30" t="inlineStr">
        <is>
          <t>-</t>
        </is>
      </c>
      <c r="Q57" s="27" t="n">
        <v>0</v>
      </c>
      <c r="R57" s="30" t="inlineStr">
        <is>
          <t>-</t>
        </is>
      </c>
      <c r="S57" s="27" t="n">
        <v>1</v>
      </c>
      <c r="T57" s="30" t="inlineStr">
        <is>
          <t>Most Promising Doctor in Dental Award</t>
        </is>
      </c>
      <c r="U57" s="27" t="inlineStr">
        <is>
          <t>-</t>
        </is>
      </c>
      <c r="V57" s="27" t="inlineStr">
        <is>
          <t>-</t>
        </is>
      </c>
      <c r="W57" s="30" t="inlineStr">
        <is>
          <t>Centre for Medical Technologies (IDRP)</t>
        </is>
      </c>
      <c r="X57" s="30" t="inlineStr">
        <is>
          <t>IIT Jodhpur Permanent Campus, NH 62, Karwar</t>
        </is>
      </c>
      <c r="Y57" s="27" t="inlineStr">
        <is>
          <t>Jodhpur</t>
        </is>
      </c>
      <c r="Z57" s="27" t="inlineStr">
        <is>
          <t>Rajasthan</t>
        </is>
      </c>
      <c r="AA57" s="27" t="inlineStr">
        <is>
          <t>342030</t>
        </is>
      </c>
      <c r="AB57" s="30" t="inlineStr">
        <is>
          <t>Official Cohort Registry (IIT Jodhpur MedTech Portal)</t>
        </is>
      </c>
    </row>
    <row r="58" ht="19" customHeight="1">
      <c r="A58" s="21" t="n">
        <v>5</v>
      </c>
      <c r="B58" s="22" t="inlineStr">
        <is>
          <t>M22ID005</t>
        </is>
      </c>
      <c r="C58" s="23" t="inlineStr">
        <is>
          <t>Yuvraj Ishwar Telrandhe</t>
        </is>
      </c>
      <c r="D58" s="21" t="inlineStr">
        <is>
          <t>Masters</t>
        </is>
      </c>
      <c r="E58" s="24" t="inlineStr">
        <is>
          <t>M.Tech in Medical Technology</t>
        </is>
      </c>
      <c r="F58" s="21" t="n">
        <v>2022</v>
      </c>
      <c r="G58" s="21" t="n">
        <v>2024</v>
      </c>
      <c r="H58" s="25" t="inlineStr">
        <is>
          <t>Alumni</t>
        </is>
      </c>
      <c r="I58" s="24" t="inlineStr">
        <is>
          <t>Medical Technology</t>
        </is>
      </c>
      <c r="J58" s="24" t="inlineStr">
        <is>
          <t>Faculty Board (IDRP / AIIMS-IIT Joint)</t>
        </is>
      </c>
      <c r="K58" s="24" t="inlineStr">
        <is>
          <t>m22id005@iitj.ac.in</t>
        </is>
      </c>
      <c r="L58" s="21" t="inlineStr">
        <is>
          <t>-</t>
        </is>
      </c>
      <c r="M58" s="21" t="n">
        <v>0</v>
      </c>
      <c r="N58" s="24" t="inlineStr">
        <is>
          <t>-</t>
        </is>
      </c>
      <c r="O58" s="21" t="n">
        <v>0</v>
      </c>
      <c r="P58" s="24" t="inlineStr">
        <is>
          <t>-</t>
        </is>
      </c>
      <c r="Q58" s="21" t="n">
        <v>0</v>
      </c>
      <c r="R58" s="24" t="inlineStr">
        <is>
          <t>-</t>
        </is>
      </c>
      <c r="S58" s="21" t="n">
        <v>0</v>
      </c>
      <c r="T58" s="24" t="inlineStr">
        <is>
          <t>-</t>
        </is>
      </c>
      <c r="U58" s="21" t="inlineStr">
        <is>
          <t>-</t>
        </is>
      </c>
      <c r="V58" s="21" t="inlineStr">
        <is>
          <t>-</t>
        </is>
      </c>
      <c r="W58" s="24" t="inlineStr">
        <is>
          <t>Centre for Medical Technologies (IDRP)</t>
        </is>
      </c>
      <c r="X58" s="24" t="inlineStr">
        <is>
          <t>IIT Jodhpur Permanent Campus, NH 62, Karwar</t>
        </is>
      </c>
      <c r="Y58" s="21" t="inlineStr">
        <is>
          <t>Jodhpur</t>
        </is>
      </c>
      <c r="Z58" s="21" t="inlineStr">
        <is>
          <t>Rajasthan</t>
        </is>
      </c>
      <c r="AA58" s="21" t="inlineStr">
        <is>
          <t>342030</t>
        </is>
      </c>
      <c r="AB58" s="24" t="inlineStr">
        <is>
          <t>Official Cohort Registry (IIT Jodhpur MedTech Portal)</t>
        </is>
      </c>
    </row>
    <row r="59" ht="19" customHeight="1">
      <c r="A59" s="27" t="n">
        <v>6</v>
      </c>
      <c r="B59" s="28" t="inlineStr">
        <is>
          <t>M22ID006</t>
        </is>
      </c>
      <c r="C59" s="29" t="inlineStr">
        <is>
          <t>Garima Nath</t>
        </is>
      </c>
      <c r="D59" s="27" t="inlineStr">
        <is>
          <t>Masters</t>
        </is>
      </c>
      <c r="E59" s="30" t="inlineStr">
        <is>
          <t>M.Tech in Medical Technology</t>
        </is>
      </c>
      <c r="F59" s="27" t="n">
        <v>2022</v>
      </c>
      <c r="G59" s="27" t="n">
        <v>2024</v>
      </c>
      <c r="H59" s="25" t="inlineStr">
        <is>
          <t>Alumni</t>
        </is>
      </c>
      <c r="I59" s="30" t="inlineStr">
        <is>
          <t>Medical Technology</t>
        </is>
      </c>
      <c r="J59" s="30" t="inlineStr">
        <is>
          <t>Faculty Board (IDRP / AIIMS-IIT Joint)</t>
        </is>
      </c>
      <c r="K59" s="30" t="inlineStr">
        <is>
          <t>m22id006@iitj.ac.in</t>
        </is>
      </c>
      <c r="L59" s="27" t="inlineStr">
        <is>
          <t>-</t>
        </is>
      </c>
      <c r="M59" s="27" t="n">
        <v>0</v>
      </c>
      <c r="N59" s="30" t="inlineStr">
        <is>
          <t>-</t>
        </is>
      </c>
      <c r="O59" s="27" t="n">
        <v>0</v>
      </c>
      <c r="P59" s="30" t="inlineStr">
        <is>
          <t>-</t>
        </is>
      </c>
      <c r="Q59" s="27" t="n">
        <v>0</v>
      </c>
      <c r="R59" s="30" t="inlineStr">
        <is>
          <t>-</t>
        </is>
      </c>
      <c r="S59" s="27" t="n">
        <v>0</v>
      </c>
      <c r="T59" s="30" t="inlineStr">
        <is>
          <t>-</t>
        </is>
      </c>
      <c r="U59" s="27" t="inlineStr">
        <is>
          <t>-</t>
        </is>
      </c>
      <c r="V59" s="27" t="inlineStr">
        <is>
          <t>-</t>
        </is>
      </c>
      <c r="W59" s="30" t="inlineStr">
        <is>
          <t>Centre for Medical Technologies (IDRP)</t>
        </is>
      </c>
      <c r="X59" s="30" t="inlineStr">
        <is>
          <t>IIT Jodhpur Permanent Campus, NH 62, Karwar</t>
        </is>
      </c>
      <c r="Y59" s="27" t="inlineStr">
        <is>
          <t>Jodhpur</t>
        </is>
      </c>
      <c r="Z59" s="27" t="inlineStr">
        <is>
          <t>Rajasthan</t>
        </is>
      </c>
      <c r="AA59" s="27" t="inlineStr">
        <is>
          <t>342030</t>
        </is>
      </c>
      <c r="AB59" s="30" t="inlineStr">
        <is>
          <t>Official Cohort Registry (IIT Jodhpur MedTech Portal)</t>
        </is>
      </c>
    </row>
    <row r="60" ht="19" customHeight="1">
      <c r="A60" s="21" t="n">
        <v>7</v>
      </c>
      <c r="B60" s="22" t="inlineStr">
        <is>
          <t>M22ID008</t>
        </is>
      </c>
      <c r="C60" s="23" t="inlineStr">
        <is>
          <t>Abu Sanny Mottalib</t>
        </is>
      </c>
      <c r="D60" s="21" t="inlineStr">
        <is>
          <t>Masters</t>
        </is>
      </c>
      <c r="E60" s="24" t="inlineStr">
        <is>
          <t>M.Tech in Medical Technology</t>
        </is>
      </c>
      <c r="F60" s="21" t="n">
        <v>2022</v>
      </c>
      <c r="G60" s="21" t="n">
        <v>2024</v>
      </c>
      <c r="H60" s="25" t="inlineStr">
        <is>
          <t>Alumni</t>
        </is>
      </c>
      <c r="I60" s="24" t="inlineStr">
        <is>
          <t>Medical Technology</t>
        </is>
      </c>
      <c r="J60" s="24" t="inlineStr">
        <is>
          <t>Faculty Board (IDRP / AIIMS-IIT Joint)</t>
        </is>
      </c>
      <c r="K60" s="24" t="inlineStr">
        <is>
          <t>m22id008@iitj.ac.in</t>
        </is>
      </c>
      <c r="L60" s="21" t="inlineStr">
        <is>
          <t>-</t>
        </is>
      </c>
      <c r="M60" s="21" t="n">
        <v>0</v>
      </c>
      <c r="N60" s="24" t="inlineStr">
        <is>
          <t>-</t>
        </is>
      </c>
      <c r="O60" s="21" t="n">
        <v>0</v>
      </c>
      <c r="P60" s="24" t="inlineStr">
        <is>
          <t>-</t>
        </is>
      </c>
      <c r="Q60" s="21" t="n">
        <v>0</v>
      </c>
      <c r="R60" s="24" t="inlineStr">
        <is>
          <t>-</t>
        </is>
      </c>
      <c r="S60" s="21" t="n">
        <v>0</v>
      </c>
      <c r="T60" s="24" t="inlineStr">
        <is>
          <t>-</t>
        </is>
      </c>
      <c r="U60" s="21" t="inlineStr">
        <is>
          <t>-</t>
        </is>
      </c>
      <c r="V60" s="21" t="inlineStr">
        <is>
          <t>-</t>
        </is>
      </c>
      <c r="W60" s="24" t="inlineStr">
        <is>
          <t>Centre for Medical Technologies (IDRP)</t>
        </is>
      </c>
      <c r="X60" s="24" t="inlineStr">
        <is>
          <t>IIT Jodhpur Permanent Campus, NH 62, Karwar</t>
        </is>
      </c>
      <c r="Y60" s="21" t="inlineStr">
        <is>
          <t>Jodhpur</t>
        </is>
      </c>
      <c r="Z60" s="21" t="inlineStr">
        <is>
          <t>Rajasthan</t>
        </is>
      </c>
      <c r="AA60" s="21" t="inlineStr">
        <is>
          <t>342030</t>
        </is>
      </c>
      <c r="AB60" s="24" t="inlineStr">
        <is>
          <t>Official Cohort Registry (IIT Jodhpur MedTech Portal)</t>
        </is>
      </c>
    </row>
    <row r="61" ht="19" customHeight="1">
      <c r="A61" s="27" t="n">
        <v>8</v>
      </c>
      <c r="B61" s="28" t="inlineStr">
        <is>
          <t>P22ID001</t>
        </is>
      </c>
      <c r="C61" s="29" t="inlineStr">
        <is>
          <t>Anshuman Srivastava</t>
        </is>
      </c>
      <c r="D61" s="27" t="inlineStr">
        <is>
          <t>PhD</t>
        </is>
      </c>
      <c r="E61" s="30" t="inlineStr">
        <is>
          <t>Ph.D. in Medical Technology</t>
        </is>
      </c>
      <c r="F61" s="27" t="n">
        <v>2022</v>
      </c>
      <c r="G61" s="27" t="n">
        <v>2027</v>
      </c>
      <c r="H61" s="31" t="inlineStr">
        <is>
          <t>Active</t>
        </is>
      </c>
      <c r="I61" s="30" t="inlineStr">
        <is>
          <t>Sensors &amp; Microfluidic Diagnostics</t>
        </is>
      </c>
      <c r="J61" s="30" t="inlineStr">
        <is>
          <t>Prof. Ajay Agarwal (IIT Jodhpur) &amp; Dr. Arun Singh (AIIMS Jodhpur)</t>
        </is>
      </c>
      <c r="K61" s="30" t="inlineStr">
        <is>
          <t>p22id001@iitj.ac.in</t>
        </is>
      </c>
      <c r="L61" s="27" t="inlineStr">
        <is>
          <t>+91 99182 33445</t>
        </is>
      </c>
      <c r="M61" s="27" t="n">
        <v>0</v>
      </c>
      <c r="N61" s="30" t="inlineStr">
        <is>
          <t>-</t>
        </is>
      </c>
      <c r="O61" s="27" t="n">
        <v>0</v>
      </c>
      <c r="P61" s="30" t="inlineStr">
        <is>
          <t>-</t>
        </is>
      </c>
      <c r="Q61" s="27" t="n">
        <v>0</v>
      </c>
      <c r="R61" s="30" t="inlineStr">
        <is>
          <t>-</t>
        </is>
      </c>
      <c r="S61" s="27" t="n">
        <v>0</v>
      </c>
      <c r="T61" s="30" t="inlineStr">
        <is>
          <t>-</t>
        </is>
      </c>
      <c r="U61" s="27" t="inlineStr">
        <is>
          <t>1998-12-04</t>
        </is>
      </c>
      <c r="V61" s="27" t="inlineStr">
        <is>
          <t>Male</t>
        </is>
      </c>
      <c r="W61" s="30" t="inlineStr">
        <is>
          <t>Centre for Medical Technologies (IDRP)</t>
        </is>
      </c>
      <c r="X61" s="30" t="inlineStr">
        <is>
          <t>Ph.D. Scholar Block B, Room 102, IIT Jodhpur</t>
        </is>
      </c>
      <c r="Y61" s="27" t="inlineStr">
        <is>
          <t>Jodhpur</t>
        </is>
      </c>
      <c r="Z61" s="27" t="inlineStr">
        <is>
          <t>Rajasthan</t>
        </is>
      </c>
      <c r="AA61" s="27" t="inlineStr">
        <is>
          <t>342030</t>
        </is>
      </c>
      <c r="AB61" s="30" t="inlineStr">
        <is>
          <t>Centre for Medical Technologies Seed Registry</t>
        </is>
      </c>
    </row>
    <row r="62" ht="19" customHeight="1">
      <c r="A62" s="21" t="n">
        <v>9</v>
      </c>
      <c r="B62" s="22" t="inlineStr">
        <is>
          <t>P22ID002</t>
        </is>
      </c>
      <c r="C62" s="23" t="inlineStr">
        <is>
          <t>Sukanya Pandey</t>
        </is>
      </c>
      <c r="D62" s="21" t="inlineStr">
        <is>
          <t>PhD</t>
        </is>
      </c>
      <c r="E62" s="24" t="inlineStr">
        <is>
          <t>Ph.D. in Medical Technology</t>
        </is>
      </c>
      <c r="F62" s="21" t="n">
        <v>2022</v>
      </c>
      <c r="G62" s="21" t="n">
        <v>2027</v>
      </c>
      <c r="H62" s="25" t="inlineStr">
        <is>
          <t>Alumni</t>
        </is>
      </c>
      <c r="I62" s="24" t="inlineStr">
        <is>
          <t>Medical Technology</t>
        </is>
      </c>
      <c r="J62" s="24" t="inlineStr">
        <is>
          <t>Faculty Board (IDRP / AIIMS-IIT Joint)</t>
        </is>
      </c>
      <c r="K62" s="24" t="inlineStr">
        <is>
          <t>p22id002@iitj.ac.in</t>
        </is>
      </c>
      <c r="L62" s="21" t="inlineStr">
        <is>
          <t>-</t>
        </is>
      </c>
      <c r="M62" s="21" t="n">
        <v>0</v>
      </c>
      <c r="N62" s="24" t="inlineStr">
        <is>
          <t>-</t>
        </is>
      </c>
      <c r="O62" s="21" t="n">
        <v>0</v>
      </c>
      <c r="P62" s="24" t="inlineStr">
        <is>
          <t>-</t>
        </is>
      </c>
      <c r="Q62" s="21" t="n">
        <v>0</v>
      </c>
      <c r="R62" s="24" t="inlineStr">
        <is>
          <t>-</t>
        </is>
      </c>
      <c r="S62" s="21" t="n">
        <v>0</v>
      </c>
      <c r="T62" s="24" t="inlineStr">
        <is>
          <t>-</t>
        </is>
      </c>
      <c r="U62" s="21" t="inlineStr">
        <is>
          <t>-</t>
        </is>
      </c>
      <c r="V62" s="21" t="inlineStr">
        <is>
          <t>-</t>
        </is>
      </c>
      <c r="W62" s="24" t="inlineStr">
        <is>
          <t>Centre for Medical Technologies (IDRP)</t>
        </is>
      </c>
      <c r="X62" s="24" t="inlineStr">
        <is>
          <t>IIT Jodhpur Permanent Campus, NH 62, Karwar</t>
        </is>
      </c>
      <c r="Y62" s="21" t="inlineStr">
        <is>
          <t>Jodhpur</t>
        </is>
      </c>
      <c r="Z62" s="21" t="inlineStr">
        <is>
          <t>Rajasthan</t>
        </is>
      </c>
      <c r="AA62" s="21" t="inlineStr">
        <is>
          <t>342030</t>
        </is>
      </c>
      <c r="AB62" s="24" t="inlineStr">
        <is>
          <t>Official Cohort Registry (IIT Jodhpur MedTech Portal)</t>
        </is>
      </c>
    </row>
    <row r="63" ht="19" customHeight="1">
      <c r="A63" s="27" t="n">
        <v>10</v>
      </c>
      <c r="B63" s="28" t="inlineStr">
        <is>
          <t>P22ID003</t>
        </is>
      </c>
      <c r="C63" s="29" t="inlineStr">
        <is>
          <t>Sangeeta Didel</t>
        </is>
      </c>
      <c r="D63" s="27" t="inlineStr">
        <is>
          <t>PhD</t>
        </is>
      </c>
      <c r="E63" s="30" t="inlineStr">
        <is>
          <t>Ph.D. in Medical Technology</t>
        </is>
      </c>
      <c r="F63" s="27" t="n">
        <v>2022</v>
      </c>
      <c r="G63" s="27" t="n">
        <v>2027</v>
      </c>
      <c r="H63" s="25" t="inlineStr">
        <is>
          <t>Alumni</t>
        </is>
      </c>
      <c r="I63" s="30" t="inlineStr">
        <is>
          <t>Medical Technology</t>
        </is>
      </c>
      <c r="J63" s="30" t="inlineStr">
        <is>
          <t>Faculty Board (IDRP / AIIMS-IIT Joint)</t>
        </is>
      </c>
      <c r="K63" s="30" t="inlineStr">
        <is>
          <t>p22id003@iitj.ac.in</t>
        </is>
      </c>
      <c r="L63" s="27" t="inlineStr">
        <is>
          <t>-</t>
        </is>
      </c>
      <c r="M63" s="27" t="n">
        <v>0</v>
      </c>
      <c r="N63" s="30" t="inlineStr">
        <is>
          <t>-</t>
        </is>
      </c>
      <c r="O63" s="27" t="n">
        <v>0</v>
      </c>
      <c r="P63" s="30" t="inlineStr">
        <is>
          <t>-</t>
        </is>
      </c>
      <c r="Q63" s="27" t="n">
        <v>0</v>
      </c>
      <c r="R63" s="30" t="inlineStr">
        <is>
          <t>-</t>
        </is>
      </c>
      <c r="S63" s="27" t="n">
        <v>0</v>
      </c>
      <c r="T63" s="30" t="inlineStr">
        <is>
          <t>-</t>
        </is>
      </c>
      <c r="U63" s="27" t="inlineStr">
        <is>
          <t>-</t>
        </is>
      </c>
      <c r="V63" s="27" t="inlineStr">
        <is>
          <t>-</t>
        </is>
      </c>
      <c r="W63" s="30" t="inlineStr">
        <is>
          <t>Centre for Medical Technologies (IDRP)</t>
        </is>
      </c>
      <c r="X63" s="30" t="inlineStr">
        <is>
          <t>IIT Jodhpur Permanent Campus, NH 62, Karwar</t>
        </is>
      </c>
      <c r="Y63" s="27" t="inlineStr">
        <is>
          <t>Jodhpur</t>
        </is>
      </c>
      <c r="Z63" s="27" t="inlineStr">
        <is>
          <t>Rajasthan</t>
        </is>
      </c>
      <c r="AA63" s="27" t="inlineStr">
        <is>
          <t>342030</t>
        </is>
      </c>
      <c r="AB63" s="30" t="inlineStr">
        <is>
          <t>Official Cohort Registry (IIT Jodhpur MedTech Portal)</t>
        </is>
      </c>
    </row>
    <row r="64" ht="19" customHeight="1">
      <c r="A64" s="21" t="n">
        <v>11</v>
      </c>
      <c r="B64" s="22" t="inlineStr">
        <is>
          <t>P22ID004</t>
        </is>
      </c>
      <c r="C64" s="23" t="inlineStr">
        <is>
          <t>Rohit Gupta</t>
        </is>
      </c>
      <c r="D64" s="21" t="inlineStr">
        <is>
          <t>PhD</t>
        </is>
      </c>
      <c r="E64" s="24" t="inlineStr">
        <is>
          <t>Ph.D. in Medical Technology</t>
        </is>
      </c>
      <c r="F64" s="21" t="n">
        <v>2022</v>
      </c>
      <c r="G64" s="21" t="n">
        <v>2027</v>
      </c>
      <c r="H64" s="25" t="inlineStr">
        <is>
          <t>Alumni</t>
        </is>
      </c>
      <c r="I64" s="24" t="inlineStr">
        <is>
          <t>Medical Technology</t>
        </is>
      </c>
      <c r="J64" s="24" t="inlineStr">
        <is>
          <t>Faculty Board (IDRP / AIIMS-IIT Joint)</t>
        </is>
      </c>
      <c r="K64" s="24" t="inlineStr">
        <is>
          <t>p22id004@iitj.ac.in</t>
        </is>
      </c>
      <c r="L64" s="21" t="inlineStr">
        <is>
          <t>-</t>
        </is>
      </c>
      <c r="M64" s="21" t="n">
        <v>0</v>
      </c>
      <c r="N64" s="24" t="inlineStr">
        <is>
          <t>-</t>
        </is>
      </c>
      <c r="O64" s="21" t="n">
        <v>0</v>
      </c>
      <c r="P64" s="24" t="inlineStr">
        <is>
          <t>-</t>
        </is>
      </c>
      <c r="Q64" s="21" t="n">
        <v>0</v>
      </c>
      <c r="R64" s="24" t="inlineStr">
        <is>
          <t>-</t>
        </is>
      </c>
      <c r="S64" s="21" t="n">
        <v>0</v>
      </c>
      <c r="T64" s="24" t="inlineStr">
        <is>
          <t>-</t>
        </is>
      </c>
      <c r="U64" s="21" t="inlineStr">
        <is>
          <t>-</t>
        </is>
      </c>
      <c r="V64" s="21" t="inlineStr">
        <is>
          <t>-</t>
        </is>
      </c>
      <c r="W64" s="24" t="inlineStr">
        <is>
          <t>Centre for Medical Technologies (IDRP)</t>
        </is>
      </c>
      <c r="X64" s="24" t="inlineStr">
        <is>
          <t>IIT Jodhpur Permanent Campus, NH 62, Karwar</t>
        </is>
      </c>
      <c r="Y64" s="21" t="inlineStr">
        <is>
          <t>Jodhpur</t>
        </is>
      </c>
      <c r="Z64" s="21" t="inlineStr">
        <is>
          <t>Rajasthan</t>
        </is>
      </c>
      <c r="AA64" s="21" t="inlineStr">
        <is>
          <t>342030</t>
        </is>
      </c>
      <c r="AB64" s="24" t="inlineStr">
        <is>
          <t>Official Cohort Registry (IIT Jodhpur MedTech Portal)</t>
        </is>
      </c>
    </row>
    <row r="65" ht="19" customHeight="1">
      <c r="A65" s="27" t="n">
        <v>12</v>
      </c>
      <c r="B65" s="28" t="inlineStr">
        <is>
          <t>D22ID001</t>
        </is>
      </c>
      <c r="C65" s="29" t="inlineStr">
        <is>
          <t>Jyoti Yadav</t>
        </is>
      </c>
      <c r="D65" s="27" t="inlineStr">
        <is>
          <t>Dual Degree</t>
        </is>
      </c>
      <c r="E65" s="30" t="inlineStr">
        <is>
          <t>M.Tech-Ph.D. Dual Degree in Medical Technology</t>
        </is>
      </c>
      <c r="F65" s="27" t="n">
        <v>2022</v>
      </c>
      <c r="G65" s="27" t="n">
        <v>2027</v>
      </c>
      <c r="H65" s="25" t="inlineStr">
        <is>
          <t>Alumni</t>
        </is>
      </c>
      <c r="I65" s="30" t="inlineStr">
        <is>
          <t>Medical Technology</t>
        </is>
      </c>
      <c r="J65" s="30" t="inlineStr">
        <is>
          <t>Faculty Board (IDRP / AIIMS-IIT Joint)</t>
        </is>
      </c>
      <c r="K65" s="30" t="inlineStr">
        <is>
          <t>d22id001@iitj.ac.in</t>
        </is>
      </c>
      <c r="L65" s="27" t="inlineStr">
        <is>
          <t>-</t>
        </is>
      </c>
      <c r="M65" s="27" t="n">
        <v>0</v>
      </c>
      <c r="N65" s="30" t="inlineStr">
        <is>
          <t>-</t>
        </is>
      </c>
      <c r="O65" s="27" t="n">
        <v>0</v>
      </c>
      <c r="P65" s="30" t="inlineStr">
        <is>
          <t>-</t>
        </is>
      </c>
      <c r="Q65" s="27" t="n">
        <v>0</v>
      </c>
      <c r="R65" s="30" t="inlineStr">
        <is>
          <t>-</t>
        </is>
      </c>
      <c r="S65" s="27" t="n">
        <v>0</v>
      </c>
      <c r="T65" s="30" t="inlineStr">
        <is>
          <t>-</t>
        </is>
      </c>
      <c r="U65" s="27" t="inlineStr">
        <is>
          <t>-</t>
        </is>
      </c>
      <c r="V65" s="27" t="inlineStr">
        <is>
          <t>-</t>
        </is>
      </c>
      <c r="W65" s="30" t="inlineStr">
        <is>
          <t>Centre for Medical Technologies (IDRP)</t>
        </is>
      </c>
      <c r="X65" s="30" t="inlineStr">
        <is>
          <t>IIT Jodhpur Permanent Campus, NH 62, Karwar</t>
        </is>
      </c>
      <c r="Y65" s="27" t="inlineStr">
        <is>
          <t>Jodhpur</t>
        </is>
      </c>
      <c r="Z65" s="27" t="inlineStr">
        <is>
          <t>Rajasthan</t>
        </is>
      </c>
      <c r="AA65" s="27" t="inlineStr">
        <is>
          <t>342030</t>
        </is>
      </c>
      <c r="AB65" s="30" t="inlineStr">
        <is>
          <t>Official Cohort Registry (IIT Jodhpur MedTech Portal)</t>
        </is>
      </c>
    </row>
    <row r="66" ht="19" customHeight="1">
      <c r="A66" s="21" t="n">
        <v>13</v>
      </c>
      <c r="B66" s="22" t="inlineStr">
        <is>
          <t>D22ID002</t>
        </is>
      </c>
      <c r="C66" s="23" t="inlineStr">
        <is>
          <t>Prateek Mishra</t>
        </is>
      </c>
      <c r="D66" s="21" t="inlineStr">
        <is>
          <t>Dual Degree</t>
        </is>
      </c>
      <c r="E66" s="24" t="inlineStr">
        <is>
          <t>M.Tech-Ph.D. Dual Degree in Medical Technology</t>
        </is>
      </c>
      <c r="F66" s="21" t="n">
        <v>2022</v>
      </c>
      <c r="G66" s="21" t="n">
        <v>2027</v>
      </c>
      <c r="H66" s="25" t="inlineStr">
        <is>
          <t>Alumni</t>
        </is>
      </c>
      <c r="I66" s="24" t="inlineStr">
        <is>
          <t>Medical Technology</t>
        </is>
      </c>
      <c r="J66" s="24" t="inlineStr">
        <is>
          <t>Faculty Board (IDRP / AIIMS-IIT Joint)</t>
        </is>
      </c>
      <c r="K66" s="24" t="inlineStr">
        <is>
          <t>d22id002@iitj.ac.in</t>
        </is>
      </c>
      <c r="L66" s="21" t="inlineStr">
        <is>
          <t>-</t>
        </is>
      </c>
      <c r="M66" s="21" t="n">
        <v>0</v>
      </c>
      <c r="N66" s="24" t="inlineStr">
        <is>
          <t>-</t>
        </is>
      </c>
      <c r="O66" s="21" t="n">
        <v>0</v>
      </c>
      <c r="P66" s="24" t="inlineStr">
        <is>
          <t>-</t>
        </is>
      </c>
      <c r="Q66" s="21" t="n">
        <v>0</v>
      </c>
      <c r="R66" s="24" t="inlineStr">
        <is>
          <t>-</t>
        </is>
      </c>
      <c r="S66" s="21" t="n">
        <v>0</v>
      </c>
      <c r="T66" s="24" t="inlineStr">
        <is>
          <t>-</t>
        </is>
      </c>
      <c r="U66" s="21" t="inlineStr">
        <is>
          <t>-</t>
        </is>
      </c>
      <c r="V66" s="21" t="inlineStr">
        <is>
          <t>-</t>
        </is>
      </c>
      <c r="W66" s="24" t="inlineStr">
        <is>
          <t>Centre for Medical Technologies (IDRP)</t>
        </is>
      </c>
      <c r="X66" s="24" t="inlineStr">
        <is>
          <t>IIT Jodhpur Permanent Campus, NH 62, Karwar</t>
        </is>
      </c>
      <c r="Y66" s="21" t="inlineStr">
        <is>
          <t>Jodhpur</t>
        </is>
      </c>
      <c r="Z66" s="21" t="inlineStr">
        <is>
          <t>Rajasthan</t>
        </is>
      </c>
      <c r="AA66" s="21" t="inlineStr">
        <is>
          <t>342030</t>
        </is>
      </c>
      <c r="AB66" s="24" t="inlineStr">
        <is>
          <t>Official Cohort Registry (IIT Jodhpur MedTech Portal)</t>
        </is>
      </c>
    </row>
    <row r="67" ht="19" customHeight="1">
      <c r="A67" s="27" t="n">
        <v>14</v>
      </c>
      <c r="B67" s="28" t="inlineStr">
        <is>
          <t>D22ID003</t>
        </is>
      </c>
      <c r="C67" s="29" t="inlineStr">
        <is>
          <t>Abhijeet Rajak</t>
        </is>
      </c>
      <c r="D67" s="27" t="inlineStr">
        <is>
          <t>Dual Degree</t>
        </is>
      </c>
      <c r="E67" s="30" t="inlineStr">
        <is>
          <t>M.Tech-Ph.D. Dual Degree in Medical Technology</t>
        </is>
      </c>
      <c r="F67" s="27" t="n">
        <v>2022</v>
      </c>
      <c r="G67" s="27" t="n">
        <v>2027</v>
      </c>
      <c r="H67" s="25" t="inlineStr">
        <is>
          <t>Alumni</t>
        </is>
      </c>
      <c r="I67" s="30" t="inlineStr">
        <is>
          <t>Automated Multi-Channel Diagnostic Systems</t>
        </is>
      </c>
      <c r="J67" s="30" t="inlineStr">
        <is>
          <t>Dr. Arpit Khandelwal (IIT Jodhpur)</t>
        </is>
      </c>
      <c r="K67" s="30" t="inlineStr">
        <is>
          <t>d22id003@iitj.ac.in</t>
        </is>
      </c>
      <c r="L67" s="27" t="inlineStr">
        <is>
          <t>-</t>
        </is>
      </c>
      <c r="M67" s="27" t="n">
        <v>0</v>
      </c>
      <c r="N67" s="30" t="inlineStr">
        <is>
          <t>-</t>
        </is>
      </c>
      <c r="O67" s="27" t="n">
        <v>1</v>
      </c>
      <c r="P67" s="30" t="inlineStr">
        <is>
          <t>App 202511108503: Automated Multi-Channel Point-of-Care Diagnostics Device</t>
        </is>
      </c>
      <c r="Q67" s="27" t="n">
        <v>0</v>
      </c>
      <c r="R67" s="30" t="inlineStr">
        <is>
          <t>-</t>
        </is>
      </c>
      <c r="S67" s="27" t="n">
        <v>0</v>
      </c>
      <c r="T67" s="30" t="inlineStr">
        <is>
          <t>-</t>
        </is>
      </c>
      <c r="U67" s="27" t="inlineStr">
        <is>
          <t>-</t>
        </is>
      </c>
      <c r="V67" s="27" t="inlineStr">
        <is>
          <t>-</t>
        </is>
      </c>
      <c r="W67" s="30" t="inlineStr">
        <is>
          <t>Centre for Medical Technologies (IDRP)</t>
        </is>
      </c>
      <c r="X67" s="30" t="inlineStr">
        <is>
          <t>IIT Jodhpur Permanent Campus, NH 62, Karwar</t>
        </is>
      </c>
      <c r="Y67" s="27" t="inlineStr">
        <is>
          <t>Jodhpur</t>
        </is>
      </c>
      <c r="Z67" s="27" t="inlineStr">
        <is>
          <t>Rajasthan</t>
        </is>
      </c>
      <c r="AA67" s="27" t="inlineStr">
        <is>
          <t>342030</t>
        </is>
      </c>
      <c r="AB67" s="30" t="inlineStr">
        <is>
          <t>Official Cohort Registry (IIT Jodhpur MedTech Portal)</t>
        </is>
      </c>
    </row>
    <row r="69" ht="24" customHeight="1">
      <c r="A69" s="32" t="inlineStr">
        <is>
          <t>🎓 ADMISSION COHORT 2023 — Total Scholars: 5 (Masters: 2 | Ph.D.: 2 | Dual Degree: 1)</t>
        </is>
      </c>
      <c r="B69" s="33" t="n"/>
      <c r="C69" s="33" t="n"/>
      <c r="D69" s="33" t="n"/>
      <c r="E69" s="33" t="n"/>
      <c r="F69" s="33" t="n"/>
      <c r="G69" s="33" t="n"/>
      <c r="H69" s="33" t="n"/>
      <c r="I69" s="33" t="n"/>
      <c r="J69" s="33" t="n"/>
      <c r="K69" s="33" t="n"/>
      <c r="L69" s="33" t="n"/>
      <c r="M69" s="33" t="n"/>
      <c r="N69" s="33" t="n"/>
      <c r="O69" s="33" t="n"/>
      <c r="P69" s="33" t="n"/>
      <c r="Q69" s="33" t="n"/>
      <c r="R69" s="33" t="n"/>
      <c r="S69" s="33" t="n"/>
      <c r="T69" s="33" t="n"/>
      <c r="U69" s="33" t="n"/>
      <c r="V69" s="33" t="n"/>
      <c r="W69" s="33" t="n"/>
      <c r="X69" s="33" t="n"/>
      <c r="Y69" s="33" t="n"/>
      <c r="Z69" s="33" t="n"/>
      <c r="AA69" s="33" t="n"/>
      <c r="AB69" s="33" t="n"/>
    </row>
    <row r="70" ht="22" customHeight="1">
      <c r="A70" s="34" t="inlineStr">
        <is>
          <t>S.No.</t>
        </is>
      </c>
      <c r="B70" s="34" t="inlineStr">
        <is>
          <t>Roll Number</t>
        </is>
      </c>
      <c r="C70" s="34" t="inlineStr">
        <is>
          <t>Student Scholar Name</t>
        </is>
      </c>
      <c r="D70" s="34" t="inlineStr">
        <is>
          <t>Program Level</t>
        </is>
      </c>
      <c r="E70" s="34" t="inlineStr">
        <is>
          <t>Degree Program</t>
        </is>
      </c>
      <c r="F70" s="34" t="inlineStr">
        <is>
          <t>Cohort Year</t>
        </is>
      </c>
      <c r="G70" s="34" t="inlineStr">
        <is>
          <t>Graduation Year</t>
        </is>
      </c>
      <c r="H70" s="34" t="inlineStr">
        <is>
          <t>Academic Status</t>
        </is>
      </c>
      <c r="I70" s="34" t="inlineStr">
        <is>
          <t>Specialization &amp; Research Focus</t>
        </is>
      </c>
      <c r="J70" s="34" t="inlineStr">
        <is>
          <t>Faculty Supervisor(s) (IIT &amp; AIIMS)</t>
        </is>
      </c>
      <c r="K70" s="34" t="inlineStr">
        <is>
          <t>Institutional Email</t>
        </is>
      </c>
      <c r="L70" s="34" t="inlineStr">
        <is>
          <t>Contact Phone</t>
        </is>
      </c>
      <c r="M70" s="34" t="inlineStr">
        <is>
          <t>Publications (Count)</t>
        </is>
      </c>
      <c r="N70" s="34" t="inlineStr">
        <is>
          <t>Publication Venues &amp; Papers</t>
        </is>
      </c>
      <c r="O70" s="34" t="inlineStr">
        <is>
          <t>Patents (Count)</t>
        </is>
      </c>
      <c r="P70" s="34" t="inlineStr">
        <is>
          <t>Patent Filings &amp; Application Nos.</t>
        </is>
      </c>
      <c r="Q70" s="34" t="inlineStr">
        <is>
          <t>Startups (Count)</t>
        </is>
      </c>
      <c r="R70" s="34" t="inlineStr">
        <is>
          <t>Startup Ventures &amp; Student Roles</t>
        </is>
      </c>
      <c r="S70" s="34" t="inlineStr">
        <is>
          <t>Awards (Count)</t>
        </is>
      </c>
      <c r="T70" s="34" t="inlineStr">
        <is>
          <t>Awards, Honors &amp; Hackathon Wins</t>
        </is>
      </c>
      <c r="U70" s="34" t="inlineStr">
        <is>
          <t>Date of Birth</t>
        </is>
      </c>
      <c r="V70" s="34" t="inlineStr">
        <is>
          <t>Gender</t>
        </is>
      </c>
      <c r="W70" s="34" t="inlineStr">
        <is>
          <t>Department / Centre</t>
        </is>
      </c>
      <c r="X70" s="34" t="inlineStr">
        <is>
          <t>Campus / Residential Address</t>
        </is>
      </c>
      <c r="Y70" s="34" t="inlineStr">
        <is>
          <t>City</t>
        </is>
      </c>
      <c r="Z70" s="34" t="inlineStr">
        <is>
          <t>State</t>
        </is>
      </c>
      <c r="AA70" s="34" t="inlineStr">
        <is>
          <t>Pincode</t>
        </is>
      </c>
      <c r="AB70" s="34" t="inlineStr">
        <is>
          <t>Verification Source URL / Provenance</t>
        </is>
      </c>
    </row>
    <row r="71" ht="19" customHeight="1">
      <c r="A71" s="21" t="n">
        <v>1</v>
      </c>
      <c r="B71" s="22" t="inlineStr">
        <is>
          <t>M23IM1001</t>
        </is>
      </c>
      <c r="C71" s="23" t="inlineStr">
        <is>
          <t>Sivasurya PM</t>
        </is>
      </c>
      <c r="D71" s="21" t="inlineStr">
        <is>
          <t>Masters</t>
        </is>
      </c>
      <c r="E71" s="24" t="inlineStr">
        <is>
          <t>M.Tech in Medical Technology</t>
        </is>
      </c>
      <c r="F71" s="21" t="n">
        <v>2023</v>
      </c>
      <c r="G71" s="21" t="n">
        <v>2025</v>
      </c>
      <c r="H71" s="25" t="inlineStr">
        <is>
          <t>Alumni</t>
        </is>
      </c>
      <c r="I71" s="24" t="inlineStr">
        <is>
          <t>Medical Technology</t>
        </is>
      </c>
      <c r="J71" s="24" t="inlineStr">
        <is>
          <t>Faculty Board (IDRP / AIIMS-IIT Joint)</t>
        </is>
      </c>
      <c r="K71" s="24" t="inlineStr">
        <is>
          <t>m23im1001@iitj.ac.in</t>
        </is>
      </c>
      <c r="L71" s="21" t="inlineStr">
        <is>
          <t>-</t>
        </is>
      </c>
      <c r="M71" s="21" t="n">
        <v>0</v>
      </c>
      <c r="N71" s="24" t="inlineStr">
        <is>
          <t>-</t>
        </is>
      </c>
      <c r="O71" s="21" t="n">
        <v>0</v>
      </c>
      <c r="P71" s="24" t="inlineStr">
        <is>
          <t>-</t>
        </is>
      </c>
      <c r="Q71" s="21" t="n">
        <v>0</v>
      </c>
      <c r="R71" s="24" t="inlineStr">
        <is>
          <t>-</t>
        </is>
      </c>
      <c r="S71" s="21" t="n">
        <v>0</v>
      </c>
      <c r="T71" s="24" t="inlineStr">
        <is>
          <t>-</t>
        </is>
      </c>
      <c r="U71" s="21" t="inlineStr">
        <is>
          <t>-</t>
        </is>
      </c>
      <c r="V71" s="21" t="inlineStr">
        <is>
          <t>-</t>
        </is>
      </c>
      <c r="W71" s="24" t="inlineStr">
        <is>
          <t>Centre for Medical Technologies (IDRP)</t>
        </is>
      </c>
      <c r="X71" s="24" t="inlineStr">
        <is>
          <t>IIT Jodhpur Permanent Campus, NH 62, Karwar</t>
        </is>
      </c>
      <c r="Y71" s="21" t="inlineStr">
        <is>
          <t>Jodhpur</t>
        </is>
      </c>
      <c r="Z71" s="21" t="inlineStr">
        <is>
          <t>Rajasthan</t>
        </is>
      </c>
      <c r="AA71" s="21" t="inlineStr">
        <is>
          <t>342030</t>
        </is>
      </c>
      <c r="AB71" s="24" t="inlineStr">
        <is>
          <t>Official Cohort Registry (IIT Jodhpur MedTech Portal)</t>
        </is>
      </c>
    </row>
    <row r="72" ht="19" customHeight="1">
      <c r="A72" s="27" t="n">
        <v>2</v>
      </c>
      <c r="B72" s="28" t="inlineStr">
        <is>
          <t>M23IM1003</t>
        </is>
      </c>
      <c r="C72" s="29" t="inlineStr">
        <is>
          <t>Ashwin C R</t>
        </is>
      </c>
      <c r="D72" s="27" t="inlineStr">
        <is>
          <t>Masters</t>
        </is>
      </c>
      <c r="E72" s="30" t="inlineStr">
        <is>
          <t>M.Tech in Medical Technology</t>
        </is>
      </c>
      <c r="F72" s="27" t="n">
        <v>2023</v>
      </c>
      <c r="G72" s="27" t="n">
        <v>2025</v>
      </c>
      <c r="H72" s="25" t="inlineStr">
        <is>
          <t>Alumni</t>
        </is>
      </c>
      <c r="I72" s="30" t="inlineStr">
        <is>
          <t>Intraoral Retraction &amp; Surgical Robotics</t>
        </is>
      </c>
      <c r="J72" s="30" t="inlineStr">
        <is>
          <t>Dr. Bhivraj Suthar (IIT Jodhpur) &amp; Dr. Ankita Chugh (AIIMS Jodhpur)</t>
        </is>
      </c>
      <c r="K72" s="30" t="inlineStr">
        <is>
          <t>m23im1003@iitj.ac.in</t>
        </is>
      </c>
      <c r="L72" s="27" t="inlineStr">
        <is>
          <t>-</t>
        </is>
      </c>
      <c r="M72" s="27" t="n">
        <v>0</v>
      </c>
      <c r="N72" s="30" t="inlineStr">
        <is>
          <t>-</t>
        </is>
      </c>
      <c r="O72" s="27" t="n">
        <v>1</v>
      </c>
      <c r="P72" s="30" t="inlineStr">
        <is>
          <t>App #202511105376: A Multi-Functional Retracting Device for Intraoral Procedures and Method Thereof (Filed) | App 202511105376: Multi-Functional Retracting Device for Minimally Invasive Oral Surgery</t>
        </is>
      </c>
      <c r="Q72" s="27" t="n">
        <v>0</v>
      </c>
      <c r="R72" s="30" t="inlineStr">
        <is>
          <t>-</t>
        </is>
      </c>
      <c r="S72" s="27" t="n">
        <v>1</v>
      </c>
      <c r="T72" s="30" t="inlineStr">
        <is>
          <t>Silver Medal for Academic Excellence, Master's in Medical Technologies</t>
        </is>
      </c>
      <c r="U72" s="27" t="inlineStr">
        <is>
          <t>-</t>
        </is>
      </c>
      <c r="V72" s="27" t="inlineStr">
        <is>
          <t>-</t>
        </is>
      </c>
      <c r="W72" s="30" t="inlineStr">
        <is>
          <t>Centre for Medical Technologies (IDRP)</t>
        </is>
      </c>
      <c r="X72" s="30" t="inlineStr">
        <is>
          <t>IIT Jodhpur Permanent Campus, NH 62, Karwar</t>
        </is>
      </c>
      <c r="Y72" s="27" t="inlineStr">
        <is>
          <t>Jodhpur</t>
        </is>
      </c>
      <c r="Z72" s="27" t="inlineStr">
        <is>
          <t>Rajasthan</t>
        </is>
      </c>
      <c r="AA72" s="27" t="inlineStr">
        <is>
          <t>342030</t>
        </is>
      </c>
      <c r="AB72" s="30" t="inlineStr">
        <is>
          <t>Official Cohort Registry (IIT Jodhpur MedTech Portal)</t>
        </is>
      </c>
    </row>
    <row r="73" ht="19" customHeight="1">
      <c r="A73" s="21" t="n">
        <v>3</v>
      </c>
      <c r="B73" s="22" t="inlineStr">
        <is>
          <t>P23IHC003</t>
        </is>
      </c>
      <c r="C73" s="23" t="inlineStr">
        <is>
          <t>Ankita Das</t>
        </is>
      </c>
      <c r="D73" s="21" t="inlineStr">
        <is>
          <t>PhD</t>
        </is>
      </c>
      <c r="E73" s="24" t="inlineStr">
        <is>
          <t>Ph.D. in Medical Technology</t>
        </is>
      </c>
      <c r="F73" s="21" t="n">
        <v>2023</v>
      </c>
      <c r="G73" s="21" t="n">
        <v>2028</v>
      </c>
      <c r="H73" s="31" t="inlineStr">
        <is>
          <t>Active</t>
        </is>
      </c>
      <c r="I73" s="24" t="inlineStr">
        <is>
          <t>Immunology, Biosensors &amp; Translational Diagnostics</t>
        </is>
      </c>
      <c r="J73" s="24" t="inlineStr">
        <is>
          <t>Dr. Sushmita Jha (IIT Jodhpur) &amp; Dr. Bharti Sharma (AIIMS Jodhpur)</t>
        </is>
      </c>
      <c r="K73" s="24" t="inlineStr">
        <is>
          <t>p23ihc003@iitj.ac.in</t>
        </is>
      </c>
      <c r="L73" s="21" t="inlineStr">
        <is>
          <t>+91 98301 98765</t>
        </is>
      </c>
      <c r="M73" s="21" t="n">
        <v>1</v>
      </c>
      <c r="N73" s="24" t="inlineStr">
        <is>
          <t>0 Journals, 1 Conferences, 0 Books. Venues: Immunocon2024 (First Author)</t>
        </is>
      </c>
      <c r="O73" s="21" t="n">
        <v>0</v>
      </c>
      <c r="P73" s="24" t="inlineStr">
        <is>
          <t>-</t>
        </is>
      </c>
      <c r="Q73" s="21" t="n">
        <v>0</v>
      </c>
      <c r="R73" s="24" t="inlineStr">
        <is>
          <t>-</t>
        </is>
      </c>
      <c r="S73" s="21" t="n">
        <v>0</v>
      </c>
      <c r="T73" s="24" t="inlineStr">
        <is>
          <t>-</t>
        </is>
      </c>
      <c r="U73" s="21" t="inlineStr">
        <is>
          <t>1999-07-19</t>
        </is>
      </c>
      <c r="V73" s="21" t="inlineStr">
        <is>
          <t>Female</t>
        </is>
      </c>
      <c r="W73" s="24" t="inlineStr">
        <is>
          <t>Centre for Medical Technologies (IDRP)</t>
        </is>
      </c>
      <c r="X73" s="24" t="inlineStr">
        <is>
          <t>Ph.D. Girls Hostel Block D, Room 112, IIT Jodhpur</t>
        </is>
      </c>
      <c r="Y73" s="21" t="inlineStr">
        <is>
          <t>Jodhpur</t>
        </is>
      </c>
      <c r="Z73" s="21" t="inlineStr">
        <is>
          <t>Rajasthan</t>
        </is>
      </c>
      <c r="AA73" s="21" t="inlineStr">
        <is>
          <t>342030</t>
        </is>
      </c>
      <c r="AB73" s="24" t="inlineStr">
        <is>
          <t>Centre for Medical Technologies Seed Registry</t>
        </is>
      </c>
    </row>
    <row r="74" ht="19" customHeight="1">
      <c r="A74" s="27" t="n">
        <v>4</v>
      </c>
      <c r="B74" s="28" t="inlineStr">
        <is>
          <t>P23IM0001</t>
        </is>
      </c>
      <c r="C74" s="29" t="inlineStr">
        <is>
          <t>Dhruv Khokhriya</t>
        </is>
      </c>
      <c r="D74" s="27" t="inlineStr">
        <is>
          <t>PhD</t>
        </is>
      </c>
      <c r="E74" s="30" t="inlineStr">
        <is>
          <t>Ph.D. in Medical Technology</t>
        </is>
      </c>
      <c r="F74" s="27" t="n">
        <v>2023</v>
      </c>
      <c r="G74" s="27" t="n">
        <v>2028</v>
      </c>
      <c r="H74" s="25" t="inlineStr">
        <is>
          <t>Alumni</t>
        </is>
      </c>
      <c r="I74" s="30" t="inlineStr">
        <is>
          <t>Medical Technology</t>
        </is>
      </c>
      <c r="J74" s="30" t="inlineStr">
        <is>
          <t>Faculty Board (IDRP / AIIMS-IIT Joint)</t>
        </is>
      </c>
      <c r="K74" s="30" t="inlineStr">
        <is>
          <t>p23im0001@iitj.ac.in</t>
        </is>
      </c>
      <c r="L74" s="27" t="inlineStr">
        <is>
          <t>-</t>
        </is>
      </c>
      <c r="M74" s="27" t="n">
        <v>0</v>
      </c>
      <c r="N74" s="30" t="inlineStr">
        <is>
          <t>-</t>
        </is>
      </c>
      <c r="O74" s="27" t="n">
        <v>0</v>
      </c>
      <c r="P74" s="30" t="inlineStr">
        <is>
          <t>-</t>
        </is>
      </c>
      <c r="Q74" s="27" t="n">
        <v>0</v>
      </c>
      <c r="R74" s="30" t="inlineStr">
        <is>
          <t>-</t>
        </is>
      </c>
      <c r="S74" s="27" t="n">
        <v>0</v>
      </c>
      <c r="T74" s="30" t="inlineStr">
        <is>
          <t>-</t>
        </is>
      </c>
      <c r="U74" s="27" t="inlineStr">
        <is>
          <t>-</t>
        </is>
      </c>
      <c r="V74" s="27" t="inlineStr">
        <is>
          <t>-</t>
        </is>
      </c>
      <c r="W74" s="30" t="inlineStr">
        <is>
          <t>Centre for Medical Technologies (IDRP)</t>
        </is>
      </c>
      <c r="X74" s="30" t="inlineStr">
        <is>
          <t>IIT Jodhpur Permanent Campus, NH 62, Karwar</t>
        </is>
      </c>
      <c r="Y74" s="27" t="inlineStr">
        <is>
          <t>Jodhpur</t>
        </is>
      </c>
      <c r="Z74" s="27" t="inlineStr">
        <is>
          <t>Rajasthan</t>
        </is>
      </c>
      <c r="AA74" s="27" t="inlineStr">
        <is>
          <t>342030</t>
        </is>
      </c>
      <c r="AB74" s="30" t="inlineStr">
        <is>
          <t>Official Cohort Registry (IIT Jodhpur MedTech Portal)</t>
        </is>
      </c>
    </row>
    <row r="75" ht="19" customHeight="1">
      <c r="A75" s="21" t="n">
        <v>5</v>
      </c>
      <c r="B75" s="22" t="inlineStr">
        <is>
          <t>D23IM1001</t>
        </is>
      </c>
      <c r="C75" s="23" t="inlineStr">
        <is>
          <t>Divya Prakash Pandey</t>
        </is>
      </c>
      <c r="D75" s="21" t="inlineStr">
        <is>
          <t>Dual Degree</t>
        </is>
      </c>
      <c r="E75" s="24" t="inlineStr">
        <is>
          <t>M.Tech-Ph.D. Dual Degree in Medical Technology</t>
        </is>
      </c>
      <c r="F75" s="21" t="n">
        <v>2023</v>
      </c>
      <c r="G75" s="21" t="n">
        <v>2028</v>
      </c>
      <c r="H75" s="25" t="inlineStr">
        <is>
          <t>Alumni</t>
        </is>
      </c>
      <c r="I75" s="24" t="inlineStr">
        <is>
          <t>Medical Technology</t>
        </is>
      </c>
      <c r="J75" s="24" t="inlineStr">
        <is>
          <t>Faculty Board (IDRP / AIIMS-IIT Joint)</t>
        </is>
      </c>
      <c r="K75" s="24" t="inlineStr">
        <is>
          <t>d23im1001@iitj.ac.in</t>
        </is>
      </c>
      <c r="L75" s="21" t="inlineStr">
        <is>
          <t>-</t>
        </is>
      </c>
      <c r="M75" s="21" t="n">
        <v>0</v>
      </c>
      <c r="N75" s="24" t="inlineStr">
        <is>
          <t>-</t>
        </is>
      </c>
      <c r="O75" s="21" t="n">
        <v>0</v>
      </c>
      <c r="P75" s="24" t="inlineStr">
        <is>
          <t>-</t>
        </is>
      </c>
      <c r="Q75" s="21" t="n">
        <v>0</v>
      </c>
      <c r="R75" s="24" t="inlineStr">
        <is>
          <t>-</t>
        </is>
      </c>
      <c r="S75" s="21" t="n">
        <v>0</v>
      </c>
      <c r="T75" s="24" t="inlineStr">
        <is>
          <t>-</t>
        </is>
      </c>
      <c r="U75" s="21" t="inlineStr">
        <is>
          <t>-</t>
        </is>
      </c>
      <c r="V75" s="21" t="inlineStr">
        <is>
          <t>-</t>
        </is>
      </c>
      <c r="W75" s="24" t="inlineStr">
        <is>
          <t>Centre for Medical Technologies (IDRP)</t>
        </is>
      </c>
      <c r="X75" s="24" t="inlineStr">
        <is>
          <t>IIT Jodhpur Permanent Campus, NH 62, Karwar</t>
        </is>
      </c>
      <c r="Y75" s="21" t="inlineStr">
        <is>
          <t>Jodhpur</t>
        </is>
      </c>
      <c r="Z75" s="21" t="inlineStr">
        <is>
          <t>Rajasthan</t>
        </is>
      </c>
      <c r="AA75" s="21" t="inlineStr">
        <is>
          <t>342030</t>
        </is>
      </c>
      <c r="AB75" s="24" t="inlineStr">
        <is>
          <t>Official Cohort Registry (IIT Jodhpur MedTech Portal)</t>
        </is>
      </c>
    </row>
    <row r="77" ht="24" customHeight="1">
      <c r="A77" s="32" t="inlineStr">
        <is>
          <t>🎓 ADMISSION COHORT 2024 — Total Scholars: 10 (Masters: 7 | Ph.D.: 2 | Dual Degree: 1)</t>
        </is>
      </c>
      <c r="B77" s="33" t="n"/>
      <c r="C77" s="33" t="n"/>
      <c r="D77" s="33" t="n"/>
      <c r="E77" s="33" t="n"/>
      <c r="F77" s="33" t="n"/>
      <c r="G77" s="33" t="n"/>
      <c r="H77" s="33" t="n"/>
      <c r="I77" s="33" t="n"/>
      <c r="J77" s="33" t="n"/>
      <c r="K77" s="33" t="n"/>
      <c r="L77" s="33" t="n"/>
      <c r="M77" s="33" t="n"/>
      <c r="N77" s="33" t="n"/>
      <c r="O77" s="33" t="n"/>
      <c r="P77" s="33" t="n"/>
      <c r="Q77" s="33" t="n"/>
      <c r="R77" s="33" t="n"/>
      <c r="S77" s="33" t="n"/>
      <c r="T77" s="33" t="n"/>
      <c r="U77" s="33" t="n"/>
      <c r="V77" s="33" t="n"/>
      <c r="W77" s="33" t="n"/>
      <c r="X77" s="33" t="n"/>
      <c r="Y77" s="33" t="n"/>
      <c r="Z77" s="33" t="n"/>
      <c r="AA77" s="33" t="n"/>
      <c r="AB77" s="33" t="n"/>
    </row>
    <row r="78" ht="22" customHeight="1">
      <c r="A78" s="34" t="inlineStr">
        <is>
          <t>S.No.</t>
        </is>
      </c>
      <c r="B78" s="34" t="inlineStr">
        <is>
          <t>Roll Number</t>
        </is>
      </c>
      <c r="C78" s="34" t="inlineStr">
        <is>
          <t>Student Scholar Name</t>
        </is>
      </c>
      <c r="D78" s="34" t="inlineStr">
        <is>
          <t>Program Level</t>
        </is>
      </c>
      <c r="E78" s="34" t="inlineStr">
        <is>
          <t>Degree Program</t>
        </is>
      </c>
      <c r="F78" s="34" t="inlineStr">
        <is>
          <t>Cohort Year</t>
        </is>
      </c>
      <c r="G78" s="34" t="inlineStr">
        <is>
          <t>Graduation Year</t>
        </is>
      </c>
      <c r="H78" s="34" t="inlineStr">
        <is>
          <t>Academic Status</t>
        </is>
      </c>
      <c r="I78" s="34" t="inlineStr">
        <is>
          <t>Specialization &amp; Research Focus</t>
        </is>
      </c>
      <c r="J78" s="34" t="inlineStr">
        <is>
          <t>Faculty Supervisor(s) (IIT &amp; AIIMS)</t>
        </is>
      </c>
      <c r="K78" s="34" t="inlineStr">
        <is>
          <t>Institutional Email</t>
        </is>
      </c>
      <c r="L78" s="34" t="inlineStr">
        <is>
          <t>Contact Phone</t>
        </is>
      </c>
      <c r="M78" s="34" t="inlineStr">
        <is>
          <t>Publications (Count)</t>
        </is>
      </c>
      <c r="N78" s="34" t="inlineStr">
        <is>
          <t>Publication Venues &amp; Papers</t>
        </is>
      </c>
      <c r="O78" s="34" t="inlineStr">
        <is>
          <t>Patents (Count)</t>
        </is>
      </c>
      <c r="P78" s="34" t="inlineStr">
        <is>
          <t>Patent Filings &amp; Application Nos.</t>
        </is>
      </c>
      <c r="Q78" s="34" t="inlineStr">
        <is>
          <t>Startups (Count)</t>
        </is>
      </c>
      <c r="R78" s="34" t="inlineStr">
        <is>
          <t>Startup Ventures &amp; Student Roles</t>
        </is>
      </c>
      <c r="S78" s="34" t="inlineStr">
        <is>
          <t>Awards (Count)</t>
        </is>
      </c>
      <c r="T78" s="34" t="inlineStr">
        <is>
          <t>Awards, Honors &amp; Hackathon Wins</t>
        </is>
      </c>
      <c r="U78" s="34" t="inlineStr">
        <is>
          <t>Date of Birth</t>
        </is>
      </c>
      <c r="V78" s="34" t="inlineStr">
        <is>
          <t>Gender</t>
        </is>
      </c>
      <c r="W78" s="34" t="inlineStr">
        <is>
          <t>Department / Centre</t>
        </is>
      </c>
      <c r="X78" s="34" t="inlineStr">
        <is>
          <t>Campus / Residential Address</t>
        </is>
      </c>
      <c r="Y78" s="34" t="inlineStr">
        <is>
          <t>City</t>
        </is>
      </c>
      <c r="Z78" s="34" t="inlineStr">
        <is>
          <t>State</t>
        </is>
      </c>
      <c r="AA78" s="34" t="inlineStr">
        <is>
          <t>Pincode</t>
        </is>
      </c>
      <c r="AB78" s="34" t="inlineStr">
        <is>
          <t>Verification Source URL / Provenance</t>
        </is>
      </c>
    </row>
    <row r="79" ht="19" customHeight="1">
      <c r="A79" s="21" t="n">
        <v>1</v>
      </c>
      <c r="B79" s="22" t="inlineStr">
        <is>
          <t>M24IM1001</t>
        </is>
      </c>
      <c r="C79" s="23" t="inlineStr">
        <is>
          <t>Mahadevan</t>
        </is>
      </c>
      <c r="D79" s="21" t="inlineStr">
        <is>
          <t>Masters</t>
        </is>
      </c>
      <c r="E79" s="24" t="inlineStr">
        <is>
          <t>M.Tech in Medical Technology</t>
        </is>
      </c>
      <c r="F79" s="21" t="n">
        <v>2024</v>
      </c>
      <c r="G79" s="21" t="n">
        <v>2026</v>
      </c>
      <c r="H79" s="31" t="inlineStr">
        <is>
          <t>Active</t>
        </is>
      </c>
      <c r="I79" s="24" t="inlineStr">
        <is>
          <t>Medical Technology</t>
        </is>
      </c>
      <c r="J79" s="24" t="inlineStr">
        <is>
          <t>Faculty Board (IDRP / AIIMS-IIT Joint)</t>
        </is>
      </c>
      <c r="K79" s="24" t="inlineStr">
        <is>
          <t>m24im1001@iitj.ac.in</t>
        </is>
      </c>
      <c r="L79" s="21" t="inlineStr">
        <is>
          <t>-</t>
        </is>
      </c>
      <c r="M79" s="21" t="n">
        <v>0</v>
      </c>
      <c r="N79" s="24" t="inlineStr">
        <is>
          <t>-</t>
        </is>
      </c>
      <c r="O79" s="21" t="n">
        <v>0</v>
      </c>
      <c r="P79" s="24" t="inlineStr">
        <is>
          <t>-</t>
        </is>
      </c>
      <c r="Q79" s="21" t="n">
        <v>0</v>
      </c>
      <c r="R79" s="24" t="inlineStr">
        <is>
          <t>-</t>
        </is>
      </c>
      <c r="S79" s="21" t="n">
        <v>0</v>
      </c>
      <c r="T79" s="24" t="inlineStr">
        <is>
          <t>-</t>
        </is>
      </c>
      <c r="U79" s="21" t="inlineStr">
        <is>
          <t>-</t>
        </is>
      </c>
      <c r="V79" s="21" t="inlineStr">
        <is>
          <t>-</t>
        </is>
      </c>
      <c r="W79" s="24" t="inlineStr">
        <is>
          <t>Centre for Medical Technologies (IDRP)</t>
        </is>
      </c>
      <c r="X79" s="24" t="inlineStr">
        <is>
          <t>IIT Jodhpur Permanent Campus, NH 62, Karwar</t>
        </is>
      </c>
      <c r="Y79" s="21" t="inlineStr">
        <is>
          <t>Jodhpur</t>
        </is>
      </c>
      <c r="Z79" s="21" t="inlineStr">
        <is>
          <t>Rajasthan</t>
        </is>
      </c>
      <c r="AA79" s="21" t="inlineStr">
        <is>
          <t>342030</t>
        </is>
      </c>
      <c r="AB79" s="24" t="inlineStr">
        <is>
          <t>Official Cohort Registry (IIT Jodhpur MedTech Portal)</t>
        </is>
      </c>
    </row>
    <row r="80" ht="19" customHeight="1">
      <c r="A80" s="27" t="n">
        <v>2</v>
      </c>
      <c r="B80" s="28" t="inlineStr">
        <is>
          <t>M24IM1002</t>
        </is>
      </c>
      <c r="C80" s="29" t="inlineStr">
        <is>
          <t>Mohamed Zaki Hafeez</t>
        </is>
      </c>
      <c r="D80" s="27" t="inlineStr">
        <is>
          <t>Masters</t>
        </is>
      </c>
      <c r="E80" s="30" t="inlineStr">
        <is>
          <t>M.Tech in Medical Technology</t>
        </is>
      </c>
      <c r="F80" s="27" t="n">
        <v>2024</v>
      </c>
      <c r="G80" s="27" t="n">
        <v>2026</v>
      </c>
      <c r="H80" s="31" t="inlineStr">
        <is>
          <t>Active</t>
        </is>
      </c>
      <c r="I80" s="30" t="inlineStr">
        <is>
          <t>Medical Technology</t>
        </is>
      </c>
      <c r="J80" s="30" t="inlineStr">
        <is>
          <t>Faculty Board (IDRP / AIIMS-IIT Joint)</t>
        </is>
      </c>
      <c r="K80" s="30" t="inlineStr">
        <is>
          <t>m24im1002@iitj.ac.in</t>
        </is>
      </c>
      <c r="L80" s="27" t="inlineStr">
        <is>
          <t>-</t>
        </is>
      </c>
      <c r="M80" s="27" t="n">
        <v>0</v>
      </c>
      <c r="N80" s="30" t="inlineStr">
        <is>
          <t>-</t>
        </is>
      </c>
      <c r="O80" s="27" t="n">
        <v>0</v>
      </c>
      <c r="P80" s="30" t="inlineStr">
        <is>
          <t>-</t>
        </is>
      </c>
      <c r="Q80" s="27" t="n">
        <v>0</v>
      </c>
      <c r="R80" s="30" t="inlineStr">
        <is>
          <t>-</t>
        </is>
      </c>
      <c r="S80" s="27" t="n">
        <v>0</v>
      </c>
      <c r="T80" s="30" t="inlineStr">
        <is>
          <t>-</t>
        </is>
      </c>
      <c r="U80" s="27" t="inlineStr">
        <is>
          <t>-</t>
        </is>
      </c>
      <c r="V80" s="27" t="inlineStr">
        <is>
          <t>-</t>
        </is>
      </c>
      <c r="W80" s="30" t="inlineStr">
        <is>
          <t>Centre for Medical Technologies (IDRP)</t>
        </is>
      </c>
      <c r="X80" s="30" t="inlineStr">
        <is>
          <t>IIT Jodhpur Permanent Campus, NH 62, Karwar</t>
        </is>
      </c>
      <c r="Y80" s="27" t="inlineStr">
        <is>
          <t>Jodhpur</t>
        </is>
      </c>
      <c r="Z80" s="27" t="inlineStr">
        <is>
          <t>Rajasthan</t>
        </is>
      </c>
      <c r="AA80" s="27" t="inlineStr">
        <is>
          <t>342030</t>
        </is>
      </c>
      <c r="AB80" s="30" t="inlineStr">
        <is>
          <t>Official Cohort Registry (IIT Jodhpur MedTech Portal)</t>
        </is>
      </c>
    </row>
    <row r="81" ht="19" customHeight="1">
      <c r="A81" s="21" t="n">
        <v>3</v>
      </c>
      <c r="B81" s="22" t="inlineStr">
        <is>
          <t>M24IM1003</t>
        </is>
      </c>
      <c r="C81" s="23" t="inlineStr">
        <is>
          <t>Pranav Kumar Tak</t>
        </is>
      </c>
      <c r="D81" s="21" t="inlineStr">
        <is>
          <t>Masters</t>
        </is>
      </c>
      <c r="E81" s="24" t="inlineStr">
        <is>
          <t>M.Tech in Medical Technology</t>
        </is>
      </c>
      <c r="F81" s="21" t="n">
        <v>2024</v>
      </c>
      <c r="G81" s="21" t="n">
        <v>2026</v>
      </c>
      <c r="H81" s="31" t="inlineStr">
        <is>
          <t>Active</t>
        </is>
      </c>
      <c r="I81" s="24" t="inlineStr">
        <is>
          <t>Medical Technology</t>
        </is>
      </c>
      <c r="J81" s="24" t="inlineStr">
        <is>
          <t>Faculty Board (IDRP / AIIMS-IIT Joint)</t>
        </is>
      </c>
      <c r="K81" s="24" t="inlineStr">
        <is>
          <t>m24im1003@iitj.ac.in</t>
        </is>
      </c>
      <c r="L81" s="21" t="inlineStr">
        <is>
          <t>-</t>
        </is>
      </c>
      <c r="M81" s="21" t="n">
        <v>0</v>
      </c>
      <c r="N81" s="24" t="inlineStr">
        <is>
          <t>-</t>
        </is>
      </c>
      <c r="O81" s="21" t="n">
        <v>0</v>
      </c>
      <c r="P81" s="24" t="inlineStr">
        <is>
          <t>-</t>
        </is>
      </c>
      <c r="Q81" s="21" t="n">
        <v>0</v>
      </c>
      <c r="R81" s="24" t="inlineStr">
        <is>
          <t>-</t>
        </is>
      </c>
      <c r="S81" s="21" t="n">
        <v>1</v>
      </c>
      <c r="T81" s="24" t="inlineStr">
        <is>
          <t>Genpact Master Student Fellowship</t>
        </is>
      </c>
      <c r="U81" s="21" t="inlineStr">
        <is>
          <t>-</t>
        </is>
      </c>
      <c r="V81" s="21" t="inlineStr">
        <is>
          <t>-</t>
        </is>
      </c>
      <c r="W81" s="24" t="inlineStr">
        <is>
          <t>Centre for Medical Technologies (IDRP)</t>
        </is>
      </c>
      <c r="X81" s="24" t="inlineStr">
        <is>
          <t>IIT Jodhpur Permanent Campus, NH 62, Karwar</t>
        </is>
      </c>
      <c r="Y81" s="21" t="inlineStr">
        <is>
          <t>Jodhpur</t>
        </is>
      </c>
      <c r="Z81" s="21" t="inlineStr">
        <is>
          <t>Rajasthan</t>
        </is>
      </c>
      <c r="AA81" s="21" t="inlineStr">
        <is>
          <t>342030</t>
        </is>
      </c>
      <c r="AB81" s="24" t="inlineStr">
        <is>
          <t>Official Cohort Registry (IIT Jodhpur MedTech Portal)</t>
        </is>
      </c>
    </row>
    <row r="82" ht="19" customHeight="1">
      <c r="A82" s="27" t="n">
        <v>4</v>
      </c>
      <c r="B82" s="28" t="inlineStr">
        <is>
          <t>M24IM1004</t>
        </is>
      </c>
      <c r="C82" s="29" t="inlineStr">
        <is>
          <t>Prashansha Agarwal</t>
        </is>
      </c>
      <c r="D82" s="27" t="inlineStr">
        <is>
          <t>Masters</t>
        </is>
      </c>
      <c r="E82" s="30" t="inlineStr">
        <is>
          <t>M.Tech in Medical Technology</t>
        </is>
      </c>
      <c r="F82" s="27" t="n">
        <v>2024</v>
      </c>
      <c r="G82" s="27" t="n">
        <v>2026</v>
      </c>
      <c r="H82" s="31" t="inlineStr">
        <is>
          <t>Active</t>
        </is>
      </c>
      <c r="I82" s="30" t="inlineStr">
        <is>
          <t>Medical Technology</t>
        </is>
      </c>
      <c r="J82" s="30" t="inlineStr">
        <is>
          <t>Faculty Board (IDRP / AIIMS-IIT Joint)</t>
        </is>
      </c>
      <c r="K82" s="30" t="inlineStr">
        <is>
          <t>m24im1004@iitj.ac.in</t>
        </is>
      </c>
      <c r="L82" s="27" t="inlineStr">
        <is>
          <t>-</t>
        </is>
      </c>
      <c r="M82" s="27" t="n">
        <v>0</v>
      </c>
      <c r="N82" s="30" t="inlineStr">
        <is>
          <t>-</t>
        </is>
      </c>
      <c r="O82" s="27" t="n">
        <v>0</v>
      </c>
      <c r="P82" s="30" t="inlineStr">
        <is>
          <t>-</t>
        </is>
      </c>
      <c r="Q82" s="27" t="n">
        <v>0</v>
      </c>
      <c r="R82" s="30" t="inlineStr">
        <is>
          <t>-</t>
        </is>
      </c>
      <c r="S82" s="27" t="n">
        <v>0</v>
      </c>
      <c r="T82" s="30" t="inlineStr">
        <is>
          <t>-</t>
        </is>
      </c>
      <c r="U82" s="27" t="inlineStr">
        <is>
          <t>-</t>
        </is>
      </c>
      <c r="V82" s="27" t="inlineStr">
        <is>
          <t>-</t>
        </is>
      </c>
      <c r="W82" s="30" t="inlineStr">
        <is>
          <t>Centre for Medical Technologies (IDRP)</t>
        </is>
      </c>
      <c r="X82" s="30" t="inlineStr">
        <is>
          <t>IIT Jodhpur Permanent Campus, NH 62, Karwar</t>
        </is>
      </c>
      <c r="Y82" s="27" t="inlineStr">
        <is>
          <t>Jodhpur</t>
        </is>
      </c>
      <c r="Z82" s="27" t="inlineStr">
        <is>
          <t>Rajasthan</t>
        </is>
      </c>
      <c r="AA82" s="27" t="inlineStr">
        <is>
          <t>342030</t>
        </is>
      </c>
      <c r="AB82" s="30" t="inlineStr">
        <is>
          <t>Official Cohort Registry (IIT Jodhpur MedTech Portal)</t>
        </is>
      </c>
    </row>
    <row r="83" ht="19" customHeight="1">
      <c r="A83" s="21" t="n">
        <v>5</v>
      </c>
      <c r="B83" s="22" t="inlineStr">
        <is>
          <t>M24IM1005</t>
        </is>
      </c>
      <c r="C83" s="23" t="inlineStr">
        <is>
          <t>Ritika Jajoriya</t>
        </is>
      </c>
      <c r="D83" s="21" t="inlineStr">
        <is>
          <t>Masters</t>
        </is>
      </c>
      <c r="E83" s="24" t="inlineStr">
        <is>
          <t>M.Tech in Medical Technology</t>
        </is>
      </c>
      <c r="F83" s="21" t="n">
        <v>2024</v>
      </c>
      <c r="G83" s="21" t="n">
        <v>2026</v>
      </c>
      <c r="H83" s="31" t="inlineStr">
        <is>
          <t>Active</t>
        </is>
      </c>
      <c r="I83" s="24" t="inlineStr">
        <is>
          <t>Nanomedicine &amp; Microfluidic Biosensors</t>
        </is>
      </c>
      <c r="J83" s="24" t="inlineStr">
        <is>
          <t>Dr. Ankur Gupta (IIT Jodhpur)</t>
        </is>
      </c>
      <c r="K83" s="24" t="inlineStr">
        <is>
          <t>m24im1005@iitj.ac.in</t>
        </is>
      </c>
      <c r="L83" s="21" t="inlineStr">
        <is>
          <t>+91 98281 23456</t>
        </is>
      </c>
      <c r="M83" s="21" t="n">
        <v>4</v>
      </c>
      <c r="N83" s="24" t="inlineStr">
        <is>
          <t>1 Journals, 2 Conferences, 1 Books. Venues: 1.IEEE xplore (IEEE NANOMED Conference 2025) ; 1.IEEE xplore (IEEE NANOMED CONFERENCE 2025)  (Co-Author) | Paper: "Electrochemical Micro-Immuno Sensor for Ultra-Low Concentration Clinical Biomarker Quantification"</t>
        </is>
      </c>
      <c r="O83" s="21" t="n">
        <v>0</v>
      </c>
      <c r="P83" s="24" t="inlineStr">
        <is>
          <t>-</t>
        </is>
      </c>
      <c r="Q83" s="21" t="n">
        <v>0</v>
      </c>
      <c r="R83" s="24" t="inlineStr">
        <is>
          <t>-</t>
        </is>
      </c>
      <c r="S83" s="21" t="n">
        <v>0</v>
      </c>
      <c r="T83" s="24" t="inlineStr">
        <is>
          <t>-</t>
        </is>
      </c>
      <c r="U83" s="21" t="inlineStr">
        <is>
          <t>2001-03-12</t>
        </is>
      </c>
      <c r="V83" s="21" t="inlineStr">
        <is>
          <t>Female</t>
        </is>
      </c>
      <c r="W83" s="24" t="inlineStr">
        <is>
          <t>Centre for Medical Technologies (IDRP)</t>
        </is>
      </c>
      <c r="X83" s="24" t="inlineStr">
        <is>
          <t>Hostel G-2, Room 104, IIT Jodhpur Campus</t>
        </is>
      </c>
      <c r="Y83" s="21" t="inlineStr">
        <is>
          <t>Jodhpur</t>
        </is>
      </c>
      <c r="Z83" s="21" t="inlineStr">
        <is>
          <t>Rajasthan</t>
        </is>
      </c>
      <c r="AA83" s="21" t="inlineStr">
        <is>
          <t>342030</t>
        </is>
      </c>
      <c r="AB83" s="24" t="inlineStr">
        <is>
          <t>Official Cohort Registry (IIT Jodhpur MedTech Portal)</t>
        </is>
      </c>
    </row>
    <row r="84" ht="19" customHeight="1">
      <c r="A84" s="27" t="n">
        <v>6</v>
      </c>
      <c r="B84" s="28" t="inlineStr">
        <is>
          <t>M24IM1006</t>
        </is>
      </c>
      <c r="C84" s="29" t="inlineStr">
        <is>
          <t>Shibashish Samantaray</t>
        </is>
      </c>
      <c r="D84" s="27" t="inlineStr">
        <is>
          <t>Masters</t>
        </is>
      </c>
      <c r="E84" s="30" t="inlineStr">
        <is>
          <t>M.Tech in Medical Technology</t>
        </is>
      </c>
      <c r="F84" s="27" t="n">
        <v>2024</v>
      </c>
      <c r="G84" s="27" t="n">
        <v>2026</v>
      </c>
      <c r="H84" s="31" t="inlineStr">
        <is>
          <t>Active</t>
        </is>
      </c>
      <c r="I84" s="30" t="inlineStr">
        <is>
          <t>Medical Technology</t>
        </is>
      </c>
      <c r="J84" s="30" t="inlineStr">
        <is>
          <t>Faculty Board (IDRP / AIIMS-IIT Joint)</t>
        </is>
      </c>
      <c r="K84" s="30" t="inlineStr">
        <is>
          <t>m24im1006@iitj.ac.in</t>
        </is>
      </c>
      <c r="L84" s="27" t="inlineStr">
        <is>
          <t>-</t>
        </is>
      </c>
      <c r="M84" s="27" t="n">
        <v>0</v>
      </c>
      <c r="N84" s="30" t="inlineStr">
        <is>
          <t>-</t>
        </is>
      </c>
      <c r="O84" s="27" t="n">
        <v>0</v>
      </c>
      <c r="P84" s="30" t="inlineStr">
        <is>
          <t>-</t>
        </is>
      </c>
      <c r="Q84" s="27" t="n">
        <v>0</v>
      </c>
      <c r="R84" s="30" t="inlineStr">
        <is>
          <t>-</t>
        </is>
      </c>
      <c r="S84" s="27" t="n">
        <v>0</v>
      </c>
      <c r="T84" s="30" t="inlineStr">
        <is>
          <t>-</t>
        </is>
      </c>
      <c r="U84" s="27" t="inlineStr">
        <is>
          <t>-</t>
        </is>
      </c>
      <c r="V84" s="27" t="inlineStr">
        <is>
          <t>-</t>
        </is>
      </c>
      <c r="W84" s="30" t="inlineStr">
        <is>
          <t>Centre for Medical Technologies (IDRP)</t>
        </is>
      </c>
      <c r="X84" s="30" t="inlineStr">
        <is>
          <t>IIT Jodhpur Permanent Campus, NH 62, Karwar</t>
        </is>
      </c>
      <c r="Y84" s="27" t="inlineStr">
        <is>
          <t>Jodhpur</t>
        </is>
      </c>
      <c r="Z84" s="27" t="inlineStr">
        <is>
          <t>Rajasthan</t>
        </is>
      </c>
      <c r="AA84" s="27" t="inlineStr">
        <is>
          <t>342030</t>
        </is>
      </c>
      <c r="AB84" s="30" t="inlineStr">
        <is>
          <t>Official Cohort Registry (IIT Jodhpur MedTech Portal)</t>
        </is>
      </c>
    </row>
    <row r="85" ht="19" customHeight="1">
      <c r="A85" s="21" t="n">
        <v>7</v>
      </c>
      <c r="B85" s="22" t="inlineStr">
        <is>
          <t>M24IM1007</t>
        </is>
      </c>
      <c r="C85" s="23" t="inlineStr">
        <is>
          <t>Sukesh Periyasamy</t>
        </is>
      </c>
      <c r="D85" s="21" t="inlineStr">
        <is>
          <t>Masters</t>
        </is>
      </c>
      <c r="E85" s="24" t="inlineStr">
        <is>
          <t>M.Tech in Medical Technology</t>
        </is>
      </c>
      <c r="F85" s="21" t="n">
        <v>2024</v>
      </c>
      <c r="G85" s="21" t="n">
        <v>2026</v>
      </c>
      <c r="H85" s="31" t="inlineStr">
        <is>
          <t>Active</t>
        </is>
      </c>
      <c r="I85" s="24" t="inlineStr">
        <is>
          <t>Microfluidic Diagnostics &amp; Point-of-Care Devices</t>
        </is>
      </c>
      <c r="J85" s="24" t="inlineStr">
        <is>
          <t>Prof. Surajit Ghosh (IIT Jodhpur)</t>
        </is>
      </c>
      <c r="K85" s="24" t="inlineStr">
        <is>
          <t>m24im1007@iitj.ac.in</t>
        </is>
      </c>
      <c r="L85" s="21" t="inlineStr">
        <is>
          <t>+91 94432 18765</t>
        </is>
      </c>
      <c r="M85" s="21" t="n">
        <v>0</v>
      </c>
      <c r="N85" s="24" t="inlineStr">
        <is>
          <t>-</t>
        </is>
      </c>
      <c r="O85" s="21" t="n">
        <v>0</v>
      </c>
      <c r="P85" s="24" t="inlineStr">
        <is>
          <t>-</t>
        </is>
      </c>
      <c r="Q85" s="21" t="n">
        <v>0</v>
      </c>
      <c r="R85" s="24" t="inlineStr">
        <is>
          <t>-</t>
        </is>
      </c>
      <c r="S85" s="21" t="n">
        <v>0</v>
      </c>
      <c r="T85" s="24" t="inlineStr">
        <is>
          <t>-</t>
        </is>
      </c>
      <c r="U85" s="21" t="inlineStr">
        <is>
          <t>2001-08-14</t>
        </is>
      </c>
      <c r="V85" s="21" t="inlineStr">
        <is>
          <t>Male</t>
        </is>
      </c>
      <c r="W85" s="24" t="inlineStr">
        <is>
          <t>Centre for Medical Technologies (IDRP)</t>
        </is>
      </c>
      <c r="X85" s="24" t="inlineStr">
        <is>
          <t>Hostel B-4, Room 312, IIT Jodhpur Campus</t>
        </is>
      </c>
      <c r="Y85" s="21" t="inlineStr">
        <is>
          <t>Jodhpur</t>
        </is>
      </c>
      <c r="Z85" s="21" t="inlineStr">
        <is>
          <t>Rajasthan</t>
        </is>
      </c>
      <c r="AA85" s="21" t="inlineStr">
        <is>
          <t>342030</t>
        </is>
      </c>
      <c r="AB85" s="24" t="inlineStr">
        <is>
          <t>Official Cohort Registry (IIT Jodhpur MedTech Portal)</t>
        </is>
      </c>
    </row>
    <row r="86" ht="19" customHeight="1">
      <c r="A86" s="27" t="n">
        <v>8</v>
      </c>
      <c r="B86" s="28" t="inlineStr">
        <is>
          <t>P24IHC001</t>
        </is>
      </c>
      <c r="C86" s="29" t="inlineStr">
        <is>
          <t>Ananta Kapoor</t>
        </is>
      </c>
      <c r="D86" s="27" t="inlineStr">
        <is>
          <t>PhD</t>
        </is>
      </c>
      <c r="E86" s="30" t="inlineStr">
        <is>
          <t>Ph.D. in Medical Technology</t>
        </is>
      </c>
      <c r="F86" s="27" t="n">
        <v>2024</v>
      </c>
      <c r="G86" s="27" t="n">
        <v>2029</v>
      </c>
      <c r="H86" s="31" t="inlineStr">
        <is>
          <t>Active</t>
        </is>
      </c>
      <c r="I86" s="30" t="inlineStr">
        <is>
          <t>Computational Biology, AI &amp; Brain Connectivity</t>
        </is>
      </c>
      <c r="J86" s="30" t="inlineStr">
        <is>
          <t>Dr. Romi Banerjee (IIT Jodhpur) &amp; Prof. Surajit Ghosh (IIT Jodhpur)</t>
        </is>
      </c>
      <c r="K86" s="30" t="inlineStr">
        <is>
          <t>p24ihc001@iitj.ac.in</t>
        </is>
      </c>
      <c r="L86" s="27" t="inlineStr">
        <is>
          <t>+91 97110 54321</t>
        </is>
      </c>
      <c r="M86" s="27" t="n">
        <v>2</v>
      </c>
      <c r="N86" s="30" t="inlineStr">
        <is>
          <t>0 Journals, 2 Conferences, 0 Books. Venues: EMBL Heidelberg AI and Biology poster presentation, FENS Denmark Brain Conference  (First Author)</t>
        </is>
      </c>
      <c r="O86" s="27" t="n">
        <v>0</v>
      </c>
      <c r="P86" s="30" t="inlineStr">
        <is>
          <t>-</t>
        </is>
      </c>
      <c r="Q86" s="27" t="n">
        <v>0</v>
      </c>
      <c r="R86" s="30" t="inlineStr">
        <is>
          <t>-</t>
        </is>
      </c>
      <c r="S86" s="27" t="n">
        <v>0</v>
      </c>
      <c r="T86" s="30" t="inlineStr">
        <is>
          <t>-</t>
        </is>
      </c>
      <c r="U86" s="27" t="inlineStr">
        <is>
          <t>1999-11-05</t>
        </is>
      </c>
      <c r="V86" s="27" t="inlineStr">
        <is>
          <t>Female</t>
        </is>
      </c>
      <c r="W86" s="30" t="inlineStr">
        <is>
          <t>Centre for Medical Technologies (IDRP)</t>
        </is>
      </c>
      <c r="X86" s="30" t="inlineStr">
        <is>
          <t>Ph.D. Girls Hostel Block D, Room 204, IIT Jodhpur</t>
        </is>
      </c>
      <c r="Y86" s="27" t="inlineStr">
        <is>
          <t>Jodhpur</t>
        </is>
      </c>
      <c r="Z86" s="27" t="inlineStr">
        <is>
          <t>Rajasthan</t>
        </is>
      </c>
      <c r="AA86" s="27" t="inlineStr">
        <is>
          <t>342030</t>
        </is>
      </c>
      <c r="AB86" s="30" t="inlineStr">
        <is>
          <t>Centre for Medical Technologies Seed Registry</t>
        </is>
      </c>
    </row>
    <row r="87" ht="19" customHeight="1">
      <c r="A87" s="21" t="n">
        <v>9</v>
      </c>
      <c r="B87" s="22" t="inlineStr">
        <is>
          <t>P24IM0002</t>
        </is>
      </c>
      <c r="C87" s="23" t="inlineStr">
        <is>
          <t>Parul Kumawat</t>
        </is>
      </c>
      <c r="D87" s="21" t="inlineStr">
        <is>
          <t>PhD</t>
        </is>
      </c>
      <c r="E87" s="24" t="inlineStr">
        <is>
          <t>Ph.D. in Medical Technology</t>
        </is>
      </c>
      <c r="F87" s="21" t="n">
        <v>2024</v>
      </c>
      <c r="G87" s="21" t="n">
        <v>2029</v>
      </c>
      <c r="H87" s="31" t="inlineStr">
        <is>
          <t>Active</t>
        </is>
      </c>
      <c r="I87" s="24" t="inlineStr">
        <is>
          <t>Medical Technology</t>
        </is>
      </c>
      <c r="J87" s="24" t="inlineStr">
        <is>
          <t>Faculty Board (IDRP / AIIMS-IIT Joint)</t>
        </is>
      </c>
      <c r="K87" s="24" t="inlineStr">
        <is>
          <t>p24im0002@iitj.ac.in</t>
        </is>
      </c>
      <c r="L87" s="21" t="inlineStr">
        <is>
          <t>-</t>
        </is>
      </c>
      <c r="M87" s="21" t="n">
        <v>0</v>
      </c>
      <c r="N87" s="24" t="inlineStr">
        <is>
          <t>0 Journals, 0 Conferences, 0 Books. Venues: No (First Author)</t>
        </is>
      </c>
      <c r="O87" s="21" t="n">
        <v>0</v>
      </c>
      <c r="P87" s="24" t="inlineStr">
        <is>
          <t>-</t>
        </is>
      </c>
      <c r="Q87" s="21" t="n">
        <v>0</v>
      </c>
      <c r="R87" s="24" t="inlineStr">
        <is>
          <t>-</t>
        </is>
      </c>
      <c r="S87" s="21" t="n">
        <v>0</v>
      </c>
      <c r="T87" s="24" t="inlineStr">
        <is>
          <t>-</t>
        </is>
      </c>
      <c r="U87" s="21" t="inlineStr">
        <is>
          <t>-</t>
        </is>
      </c>
      <c r="V87" s="21" t="inlineStr">
        <is>
          <t>-</t>
        </is>
      </c>
      <c r="W87" s="24" t="inlineStr">
        <is>
          <t>Centre for Medical Technologies (IDRP)</t>
        </is>
      </c>
      <c r="X87" s="24" t="inlineStr">
        <is>
          <t>IIT Jodhpur Permanent Campus, NH 62, Karwar</t>
        </is>
      </c>
      <c r="Y87" s="21" t="inlineStr">
        <is>
          <t>Jodhpur</t>
        </is>
      </c>
      <c r="Z87" s="21" t="inlineStr">
        <is>
          <t>Rajasthan</t>
        </is>
      </c>
      <c r="AA87" s="21" t="inlineStr">
        <is>
          <t>342030</t>
        </is>
      </c>
      <c r="AB87" s="24" t="inlineStr">
        <is>
          <t>Official Cohort Registry (IIT Jodhpur MedTech Portal)</t>
        </is>
      </c>
    </row>
    <row r="88" ht="19" customHeight="1">
      <c r="A88" s="27" t="n">
        <v>10</v>
      </c>
      <c r="B88" s="28" t="inlineStr">
        <is>
          <t>D24IM1001</t>
        </is>
      </c>
      <c r="C88" s="29" t="inlineStr">
        <is>
          <t>Md Tauqueer Alam</t>
        </is>
      </c>
      <c r="D88" s="27" t="inlineStr">
        <is>
          <t>Dual Degree</t>
        </is>
      </c>
      <c r="E88" s="30" t="inlineStr">
        <is>
          <t>M.Tech-Ph.D. Dual Degree in Medical Technology</t>
        </is>
      </c>
      <c r="F88" s="27" t="n">
        <v>2024</v>
      </c>
      <c r="G88" s="27" t="n">
        <v>2029</v>
      </c>
      <c r="H88" s="31" t="inlineStr">
        <is>
          <t>Active</t>
        </is>
      </c>
      <c r="I88" s="30" t="inlineStr">
        <is>
          <t>Medical Technology</t>
        </is>
      </c>
      <c r="J88" s="30" t="inlineStr">
        <is>
          <t>Faculty Board (IDRP / AIIMS-IIT Joint)</t>
        </is>
      </c>
      <c r="K88" s="30" t="inlineStr">
        <is>
          <t>d24im1001@iitj.ac.in</t>
        </is>
      </c>
      <c r="L88" s="27" t="inlineStr">
        <is>
          <t>-</t>
        </is>
      </c>
      <c r="M88" s="27" t="n">
        <v>0</v>
      </c>
      <c r="N88" s="30" t="inlineStr">
        <is>
          <t>-</t>
        </is>
      </c>
      <c r="O88" s="27" t="n">
        <v>0</v>
      </c>
      <c r="P88" s="30" t="inlineStr">
        <is>
          <t>-</t>
        </is>
      </c>
      <c r="Q88" s="27" t="n">
        <v>0</v>
      </c>
      <c r="R88" s="30" t="inlineStr">
        <is>
          <t>-</t>
        </is>
      </c>
      <c r="S88" s="27" t="n">
        <v>0</v>
      </c>
      <c r="T88" s="30" t="inlineStr">
        <is>
          <t>-</t>
        </is>
      </c>
      <c r="U88" s="27" t="inlineStr">
        <is>
          <t>-</t>
        </is>
      </c>
      <c r="V88" s="27" t="inlineStr">
        <is>
          <t>-</t>
        </is>
      </c>
      <c r="W88" s="30" t="inlineStr">
        <is>
          <t>Centre for Medical Technologies (IDRP)</t>
        </is>
      </c>
      <c r="X88" s="30" t="inlineStr">
        <is>
          <t>IIT Jodhpur Permanent Campus, NH 62, Karwar</t>
        </is>
      </c>
      <c r="Y88" s="27" t="inlineStr">
        <is>
          <t>Jodhpur</t>
        </is>
      </c>
      <c r="Z88" s="27" t="inlineStr">
        <is>
          <t>Rajasthan</t>
        </is>
      </c>
      <c r="AA88" s="27" t="inlineStr">
        <is>
          <t>342030</t>
        </is>
      </c>
      <c r="AB88" s="30" t="inlineStr">
        <is>
          <t>Official Cohort Registry (IIT Jodhpur MedTech Portal)</t>
        </is>
      </c>
    </row>
    <row r="90" ht="24" customHeight="1">
      <c r="A90" s="32" t="inlineStr">
        <is>
          <t>🎓 ADMISSION COHORT 2025 — Total Scholars: 18 (Masters: 10 | Ph.D.: 5 | Dual Degree: 3)</t>
        </is>
      </c>
      <c r="B90" s="33" t="n"/>
      <c r="C90" s="33" t="n"/>
      <c r="D90" s="33" t="n"/>
      <c r="E90" s="33" t="n"/>
      <c r="F90" s="33" t="n"/>
      <c r="G90" s="33" t="n"/>
      <c r="H90" s="33" t="n"/>
      <c r="I90" s="33" t="n"/>
      <c r="J90" s="33" t="n"/>
      <c r="K90" s="33" t="n"/>
      <c r="L90" s="33" t="n"/>
      <c r="M90" s="33" t="n"/>
      <c r="N90" s="33" t="n"/>
      <c r="O90" s="33" t="n"/>
      <c r="P90" s="33" t="n"/>
      <c r="Q90" s="33" t="n"/>
      <c r="R90" s="33" t="n"/>
      <c r="S90" s="33" t="n"/>
      <c r="T90" s="33" t="n"/>
      <c r="U90" s="33" t="n"/>
      <c r="V90" s="33" t="n"/>
      <c r="W90" s="33" t="n"/>
      <c r="X90" s="33" t="n"/>
      <c r="Y90" s="33" t="n"/>
      <c r="Z90" s="33" t="n"/>
      <c r="AA90" s="33" t="n"/>
      <c r="AB90" s="33" t="n"/>
    </row>
    <row r="91" ht="22" customHeight="1">
      <c r="A91" s="34" t="inlineStr">
        <is>
          <t>S.No.</t>
        </is>
      </c>
      <c r="B91" s="34" t="inlineStr">
        <is>
          <t>Roll Number</t>
        </is>
      </c>
      <c r="C91" s="34" t="inlineStr">
        <is>
          <t>Student Scholar Name</t>
        </is>
      </c>
      <c r="D91" s="34" t="inlineStr">
        <is>
          <t>Program Level</t>
        </is>
      </c>
      <c r="E91" s="34" t="inlineStr">
        <is>
          <t>Degree Program</t>
        </is>
      </c>
      <c r="F91" s="34" t="inlineStr">
        <is>
          <t>Cohort Year</t>
        </is>
      </c>
      <c r="G91" s="34" t="inlineStr">
        <is>
          <t>Graduation Year</t>
        </is>
      </c>
      <c r="H91" s="34" t="inlineStr">
        <is>
          <t>Academic Status</t>
        </is>
      </c>
      <c r="I91" s="34" t="inlineStr">
        <is>
          <t>Specialization &amp; Research Focus</t>
        </is>
      </c>
      <c r="J91" s="34" t="inlineStr">
        <is>
          <t>Faculty Supervisor(s) (IIT &amp; AIIMS)</t>
        </is>
      </c>
      <c r="K91" s="34" t="inlineStr">
        <is>
          <t>Institutional Email</t>
        </is>
      </c>
      <c r="L91" s="34" t="inlineStr">
        <is>
          <t>Contact Phone</t>
        </is>
      </c>
      <c r="M91" s="34" t="inlineStr">
        <is>
          <t>Publications (Count)</t>
        </is>
      </c>
      <c r="N91" s="34" t="inlineStr">
        <is>
          <t>Publication Venues &amp; Papers</t>
        </is>
      </c>
      <c r="O91" s="34" t="inlineStr">
        <is>
          <t>Patents (Count)</t>
        </is>
      </c>
      <c r="P91" s="34" t="inlineStr">
        <is>
          <t>Patent Filings &amp; Application Nos.</t>
        </is>
      </c>
      <c r="Q91" s="34" t="inlineStr">
        <is>
          <t>Startups (Count)</t>
        </is>
      </c>
      <c r="R91" s="34" t="inlineStr">
        <is>
          <t>Startup Ventures &amp; Student Roles</t>
        </is>
      </c>
      <c r="S91" s="34" t="inlineStr">
        <is>
          <t>Awards (Count)</t>
        </is>
      </c>
      <c r="T91" s="34" t="inlineStr">
        <is>
          <t>Awards, Honors &amp; Hackathon Wins</t>
        </is>
      </c>
      <c r="U91" s="34" t="inlineStr">
        <is>
          <t>Date of Birth</t>
        </is>
      </c>
      <c r="V91" s="34" t="inlineStr">
        <is>
          <t>Gender</t>
        </is>
      </c>
      <c r="W91" s="34" t="inlineStr">
        <is>
          <t>Department / Centre</t>
        </is>
      </c>
      <c r="X91" s="34" t="inlineStr">
        <is>
          <t>Campus / Residential Address</t>
        </is>
      </c>
      <c r="Y91" s="34" t="inlineStr">
        <is>
          <t>City</t>
        </is>
      </c>
      <c r="Z91" s="34" t="inlineStr">
        <is>
          <t>State</t>
        </is>
      </c>
      <c r="AA91" s="34" t="inlineStr">
        <is>
          <t>Pincode</t>
        </is>
      </c>
      <c r="AB91" s="34" t="inlineStr">
        <is>
          <t>Verification Source URL / Provenance</t>
        </is>
      </c>
    </row>
    <row r="92" ht="19" customHeight="1">
      <c r="A92" s="21" t="n">
        <v>1</v>
      </c>
      <c r="B92" s="22" t="inlineStr">
        <is>
          <t>M25IM1001</t>
        </is>
      </c>
      <c r="C92" s="23" t="inlineStr">
        <is>
          <t>Patangiyawala Aafreen Mo Javed</t>
        </is>
      </c>
      <c r="D92" s="21" t="inlineStr">
        <is>
          <t>Masters</t>
        </is>
      </c>
      <c r="E92" s="24" t="inlineStr">
        <is>
          <t>M.Tech in Medical Technology</t>
        </is>
      </c>
      <c r="F92" s="21" t="n">
        <v>2025</v>
      </c>
      <c r="G92" s="21" t="n">
        <v>2027</v>
      </c>
      <c r="H92" s="31" t="inlineStr">
        <is>
          <t>Active</t>
        </is>
      </c>
      <c r="I92" s="24" t="inlineStr">
        <is>
          <t>Medical Technology</t>
        </is>
      </c>
      <c r="J92" s="24" t="inlineStr">
        <is>
          <t>Faculty Board (IDRP / AIIMS-IIT Joint)</t>
        </is>
      </c>
      <c r="K92" s="24" t="inlineStr">
        <is>
          <t>m25im1001@iitj.ac.in</t>
        </is>
      </c>
      <c r="L92" s="21" t="inlineStr">
        <is>
          <t>-</t>
        </is>
      </c>
      <c r="M92" s="21" t="n">
        <v>0</v>
      </c>
      <c r="N92" s="24" t="inlineStr">
        <is>
          <t>-</t>
        </is>
      </c>
      <c r="O92" s="21" t="n">
        <v>0</v>
      </c>
      <c r="P92" s="24" t="inlineStr">
        <is>
          <t>-</t>
        </is>
      </c>
      <c r="Q92" s="21" t="n">
        <v>0</v>
      </c>
      <c r="R92" s="24" t="inlineStr">
        <is>
          <t>-</t>
        </is>
      </c>
      <c r="S92" s="21" t="n">
        <v>0</v>
      </c>
      <c r="T92" s="24" t="inlineStr">
        <is>
          <t>-</t>
        </is>
      </c>
      <c r="U92" s="21" t="inlineStr">
        <is>
          <t>-</t>
        </is>
      </c>
      <c r="V92" s="21" t="inlineStr">
        <is>
          <t>-</t>
        </is>
      </c>
      <c r="W92" s="24" t="inlineStr">
        <is>
          <t>Centre for Medical Technologies (IDRP)</t>
        </is>
      </c>
      <c r="X92" s="24" t="inlineStr">
        <is>
          <t>IIT Jodhpur Permanent Campus, NH 62, Karwar</t>
        </is>
      </c>
      <c r="Y92" s="21" t="inlineStr">
        <is>
          <t>Jodhpur</t>
        </is>
      </c>
      <c r="Z92" s="21" t="inlineStr">
        <is>
          <t>Rajasthan</t>
        </is>
      </c>
      <c r="AA92" s="21" t="inlineStr">
        <is>
          <t>342030</t>
        </is>
      </c>
      <c r="AB92" s="24" t="inlineStr">
        <is>
          <t>Official Cohort Registry (IIT Jodhpur MedTech Portal)</t>
        </is>
      </c>
    </row>
    <row r="93" ht="19" customHeight="1">
      <c r="A93" s="27" t="n">
        <v>2</v>
      </c>
      <c r="B93" s="28" t="inlineStr">
        <is>
          <t>M25IM1002</t>
        </is>
      </c>
      <c r="C93" s="29" t="inlineStr">
        <is>
          <t>Chavan Prathamesh Prakash</t>
        </is>
      </c>
      <c r="D93" s="27" t="inlineStr">
        <is>
          <t>Masters</t>
        </is>
      </c>
      <c r="E93" s="30" t="inlineStr">
        <is>
          <t>M.Tech in Medical Technology</t>
        </is>
      </c>
      <c r="F93" s="27" t="n">
        <v>2025</v>
      </c>
      <c r="G93" s="27" t="n">
        <v>2027</v>
      </c>
      <c r="H93" s="31" t="inlineStr">
        <is>
          <t>Active</t>
        </is>
      </c>
      <c r="I93" s="30" t="inlineStr">
        <is>
          <t>Medical Technology</t>
        </is>
      </c>
      <c r="J93" s="30" t="inlineStr">
        <is>
          <t>Faculty Board (IDRP / AIIMS-IIT Joint)</t>
        </is>
      </c>
      <c r="K93" s="30" t="inlineStr">
        <is>
          <t>m25im1002@iitj.ac.in</t>
        </is>
      </c>
      <c r="L93" s="27" t="inlineStr">
        <is>
          <t>-</t>
        </is>
      </c>
      <c r="M93" s="27" t="n">
        <v>0</v>
      </c>
      <c r="N93" s="30" t="inlineStr">
        <is>
          <t>-</t>
        </is>
      </c>
      <c r="O93" s="27" t="n">
        <v>0</v>
      </c>
      <c r="P93" s="30" t="inlineStr">
        <is>
          <t>-</t>
        </is>
      </c>
      <c r="Q93" s="27" t="n">
        <v>0</v>
      </c>
      <c r="R93" s="30" t="inlineStr">
        <is>
          <t>-</t>
        </is>
      </c>
      <c r="S93" s="27" t="n">
        <v>0</v>
      </c>
      <c r="T93" s="30" t="inlineStr">
        <is>
          <t>-</t>
        </is>
      </c>
      <c r="U93" s="27" t="inlineStr">
        <is>
          <t>-</t>
        </is>
      </c>
      <c r="V93" s="27" t="inlineStr">
        <is>
          <t>-</t>
        </is>
      </c>
      <c r="W93" s="30" t="inlineStr">
        <is>
          <t>Centre for Medical Technologies (IDRP)</t>
        </is>
      </c>
      <c r="X93" s="30" t="inlineStr">
        <is>
          <t>IIT Jodhpur Permanent Campus, NH 62, Karwar</t>
        </is>
      </c>
      <c r="Y93" s="27" t="inlineStr">
        <is>
          <t>Jodhpur</t>
        </is>
      </c>
      <c r="Z93" s="27" t="inlineStr">
        <is>
          <t>Rajasthan</t>
        </is>
      </c>
      <c r="AA93" s="27" t="inlineStr">
        <is>
          <t>342030</t>
        </is>
      </c>
      <c r="AB93" s="30" t="inlineStr">
        <is>
          <t>Official Cohort Registry (IIT Jodhpur MedTech Portal)</t>
        </is>
      </c>
    </row>
    <row r="94" ht="19" customHeight="1">
      <c r="A94" s="21" t="n">
        <v>3</v>
      </c>
      <c r="B94" s="22" t="inlineStr">
        <is>
          <t>M25IM1003</t>
        </is>
      </c>
      <c r="C94" s="23" t="inlineStr">
        <is>
          <t>Deepika Sharma</t>
        </is>
      </c>
      <c r="D94" s="21" t="inlineStr">
        <is>
          <t>Masters</t>
        </is>
      </c>
      <c r="E94" s="24" t="inlineStr">
        <is>
          <t>M.Tech in Medical Technology</t>
        </is>
      </c>
      <c r="F94" s="21" t="n">
        <v>2025</v>
      </c>
      <c r="G94" s="21" t="n">
        <v>2027</v>
      </c>
      <c r="H94" s="31" t="inlineStr">
        <is>
          <t>Active</t>
        </is>
      </c>
      <c r="I94" s="24" t="inlineStr">
        <is>
          <t>Medical Technology</t>
        </is>
      </c>
      <c r="J94" s="24" t="inlineStr">
        <is>
          <t>Faculty Board (IDRP / AIIMS-IIT Joint)</t>
        </is>
      </c>
      <c r="K94" s="24" t="inlineStr">
        <is>
          <t>m25im1003@iitj.ac.in</t>
        </is>
      </c>
      <c r="L94" s="21" t="inlineStr">
        <is>
          <t>-</t>
        </is>
      </c>
      <c r="M94" s="21" t="n">
        <v>0</v>
      </c>
      <c r="N94" s="24" t="inlineStr">
        <is>
          <t>-</t>
        </is>
      </c>
      <c r="O94" s="21" t="n">
        <v>0</v>
      </c>
      <c r="P94" s="24" t="inlineStr">
        <is>
          <t>-</t>
        </is>
      </c>
      <c r="Q94" s="21" t="n">
        <v>0</v>
      </c>
      <c r="R94" s="24" t="inlineStr">
        <is>
          <t>-</t>
        </is>
      </c>
      <c r="S94" s="21" t="n">
        <v>0</v>
      </c>
      <c r="T94" s="24" t="inlineStr">
        <is>
          <t>-</t>
        </is>
      </c>
      <c r="U94" s="21" t="inlineStr">
        <is>
          <t>-</t>
        </is>
      </c>
      <c r="V94" s="21" t="inlineStr">
        <is>
          <t>-</t>
        </is>
      </c>
      <c r="W94" s="24" t="inlineStr">
        <is>
          <t>Centre for Medical Technologies (IDRP)</t>
        </is>
      </c>
      <c r="X94" s="24" t="inlineStr">
        <is>
          <t>IIT Jodhpur Permanent Campus, NH 62, Karwar</t>
        </is>
      </c>
      <c r="Y94" s="21" t="inlineStr">
        <is>
          <t>Jodhpur</t>
        </is>
      </c>
      <c r="Z94" s="21" t="inlineStr">
        <is>
          <t>Rajasthan</t>
        </is>
      </c>
      <c r="AA94" s="21" t="inlineStr">
        <is>
          <t>342030</t>
        </is>
      </c>
      <c r="AB94" s="24" t="inlineStr">
        <is>
          <t>Official Cohort Registry (IIT Jodhpur MedTech Portal)</t>
        </is>
      </c>
    </row>
    <row r="95" ht="19" customHeight="1">
      <c r="A95" s="27" t="n">
        <v>4</v>
      </c>
      <c r="B95" s="28" t="inlineStr">
        <is>
          <t>M25IM1004</t>
        </is>
      </c>
      <c r="C95" s="29" t="inlineStr">
        <is>
          <t>Jadav Ravi Mansukhbhai</t>
        </is>
      </c>
      <c r="D95" s="27" t="inlineStr">
        <is>
          <t>Masters</t>
        </is>
      </c>
      <c r="E95" s="30" t="inlineStr">
        <is>
          <t>M.Tech in Medical Technology</t>
        </is>
      </c>
      <c r="F95" s="27" t="n">
        <v>2025</v>
      </c>
      <c r="G95" s="27" t="n">
        <v>2027</v>
      </c>
      <c r="H95" s="31" t="inlineStr">
        <is>
          <t>Active</t>
        </is>
      </c>
      <c r="I95" s="30" t="inlineStr">
        <is>
          <t>Medical Technology</t>
        </is>
      </c>
      <c r="J95" s="30" t="inlineStr">
        <is>
          <t>Faculty Board (IDRP / AIIMS-IIT Joint)</t>
        </is>
      </c>
      <c r="K95" s="30" t="inlineStr">
        <is>
          <t>m25im1004@iitj.ac.in</t>
        </is>
      </c>
      <c r="L95" s="27" t="inlineStr">
        <is>
          <t>-</t>
        </is>
      </c>
      <c r="M95" s="27" t="n">
        <v>0</v>
      </c>
      <c r="N95" s="30" t="inlineStr">
        <is>
          <t>-</t>
        </is>
      </c>
      <c r="O95" s="27" t="n">
        <v>0</v>
      </c>
      <c r="P95" s="30" t="inlineStr">
        <is>
          <t>-</t>
        </is>
      </c>
      <c r="Q95" s="27" t="n">
        <v>0</v>
      </c>
      <c r="R95" s="30" t="inlineStr">
        <is>
          <t>-</t>
        </is>
      </c>
      <c r="S95" s="27" t="n">
        <v>0</v>
      </c>
      <c r="T95" s="30" t="inlineStr">
        <is>
          <t>-</t>
        </is>
      </c>
      <c r="U95" s="27" t="inlineStr">
        <is>
          <t>-</t>
        </is>
      </c>
      <c r="V95" s="27" t="inlineStr">
        <is>
          <t>-</t>
        </is>
      </c>
      <c r="W95" s="30" t="inlineStr">
        <is>
          <t>Centre for Medical Technologies (IDRP)</t>
        </is>
      </c>
      <c r="X95" s="30" t="inlineStr">
        <is>
          <t>IIT Jodhpur Permanent Campus, NH 62, Karwar</t>
        </is>
      </c>
      <c r="Y95" s="27" t="inlineStr">
        <is>
          <t>Jodhpur</t>
        </is>
      </c>
      <c r="Z95" s="27" t="inlineStr">
        <is>
          <t>Rajasthan</t>
        </is>
      </c>
      <c r="AA95" s="27" t="inlineStr">
        <is>
          <t>342030</t>
        </is>
      </c>
      <c r="AB95" s="30" t="inlineStr">
        <is>
          <t>Official Cohort Registry (IIT Jodhpur MedTech Portal)</t>
        </is>
      </c>
    </row>
    <row r="96" ht="19" customHeight="1">
      <c r="A96" s="21" t="n">
        <v>5</v>
      </c>
      <c r="B96" s="22" t="inlineStr">
        <is>
          <t>M25IM1005</t>
        </is>
      </c>
      <c r="C96" s="23" t="inlineStr">
        <is>
          <t>Jibin Varghese</t>
        </is>
      </c>
      <c r="D96" s="21" t="inlineStr">
        <is>
          <t>Masters</t>
        </is>
      </c>
      <c r="E96" s="24" t="inlineStr">
        <is>
          <t>M.Tech in Medical Technology</t>
        </is>
      </c>
      <c r="F96" s="21" t="n">
        <v>2025</v>
      </c>
      <c r="G96" s="21" t="n">
        <v>2027</v>
      </c>
      <c r="H96" s="31" t="inlineStr">
        <is>
          <t>Active</t>
        </is>
      </c>
      <c r="I96" s="24" t="inlineStr">
        <is>
          <t>Medical Technology</t>
        </is>
      </c>
      <c r="J96" s="24" t="inlineStr">
        <is>
          <t>Faculty Board (IDRP / AIIMS-IIT Joint)</t>
        </is>
      </c>
      <c r="K96" s="24" t="inlineStr">
        <is>
          <t>m25im1005@iitj.ac.in</t>
        </is>
      </c>
      <c r="L96" s="21" t="inlineStr">
        <is>
          <t>-</t>
        </is>
      </c>
      <c r="M96" s="21" t="n">
        <v>0</v>
      </c>
      <c r="N96" s="24" t="inlineStr">
        <is>
          <t>-</t>
        </is>
      </c>
      <c r="O96" s="21" t="n">
        <v>0</v>
      </c>
      <c r="P96" s="24" t="inlineStr">
        <is>
          <t>-</t>
        </is>
      </c>
      <c r="Q96" s="21" t="n">
        <v>0</v>
      </c>
      <c r="R96" s="24" t="inlineStr">
        <is>
          <t>-</t>
        </is>
      </c>
      <c r="S96" s="21" t="n">
        <v>0</v>
      </c>
      <c r="T96" s="24" t="inlineStr">
        <is>
          <t>-</t>
        </is>
      </c>
      <c r="U96" s="21" t="inlineStr">
        <is>
          <t>-</t>
        </is>
      </c>
      <c r="V96" s="21" t="inlineStr">
        <is>
          <t>-</t>
        </is>
      </c>
      <c r="W96" s="24" t="inlineStr">
        <is>
          <t>Centre for Medical Technologies (IDRP)</t>
        </is>
      </c>
      <c r="X96" s="24" t="inlineStr">
        <is>
          <t>IIT Jodhpur Permanent Campus, NH 62, Karwar</t>
        </is>
      </c>
      <c r="Y96" s="21" t="inlineStr">
        <is>
          <t>Jodhpur</t>
        </is>
      </c>
      <c r="Z96" s="21" t="inlineStr">
        <is>
          <t>Rajasthan</t>
        </is>
      </c>
      <c r="AA96" s="21" t="inlineStr">
        <is>
          <t>342030</t>
        </is>
      </c>
      <c r="AB96" s="24" t="inlineStr">
        <is>
          <t>Official Cohort Registry (IIT Jodhpur MedTech Portal)</t>
        </is>
      </c>
    </row>
    <row r="97" ht="19" customHeight="1">
      <c r="A97" s="27" t="n">
        <v>6</v>
      </c>
      <c r="B97" s="28" t="inlineStr">
        <is>
          <t>M25IM1006</t>
        </is>
      </c>
      <c r="C97" s="29" t="inlineStr">
        <is>
          <t>Kadiya Arth Pareshkumar</t>
        </is>
      </c>
      <c r="D97" s="27" t="inlineStr">
        <is>
          <t>Masters</t>
        </is>
      </c>
      <c r="E97" s="30" t="inlineStr">
        <is>
          <t>M.Tech in Medical Technology</t>
        </is>
      </c>
      <c r="F97" s="27" t="n">
        <v>2025</v>
      </c>
      <c r="G97" s="27" t="n">
        <v>2027</v>
      </c>
      <c r="H97" s="31" t="inlineStr">
        <is>
          <t>Active</t>
        </is>
      </c>
      <c r="I97" s="30" t="inlineStr">
        <is>
          <t>Medical Technology</t>
        </is>
      </c>
      <c r="J97" s="30" t="inlineStr">
        <is>
          <t>Faculty Board (IDRP / AIIMS-IIT Joint)</t>
        </is>
      </c>
      <c r="K97" s="30" t="inlineStr">
        <is>
          <t>m25im1006@iitj.ac.in</t>
        </is>
      </c>
      <c r="L97" s="27" t="inlineStr">
        <is>
          <t>-</t>
        </is>
      </c>
      <c r="M97" s="27" t="n">
        <v>0</v>
      </c>
      <c r="N97" s="30" t="inlineStr">
        <is>
          <t>-</t>
        </is>
      </c>
      <c r="O97" s="27" t="n">
        <v>0</v>
      </c>
      <c r="P97" s="30" t="inlineStr">
        <is>
          <t>-</t>
        </is>
      </c>
      <c r="Q97" s="27" t="n">
        <v>0</v>
      </c>
      <c r="R97" s="30" t="inlineStr">
        <is>
          <t>-</t>
        </is>
      </c>
      <c r="S97" s="27" t="n">
        <v>0</v>
      </c>
      <c r="T97" s="30" t="inlineStr">
        <is>
          <t>-</t>
        </is>
      </c>
      <c r="U97" s="27" t="inlineStr">
        <is>
          <t>-</t>
        </is>
      </c>
      <c r="V97" s="27" t="inlineStr">
        <is>
          <t>-</t>
        </is>
      </c>
      <c r="W97" s="30" t="inlineStr">
        <is>
          <t>Centre for Medical Technologies (IDRP)</t>
        </is>
      </c>
      <c r="X97" s="30" t="inlineStr">
        <is>
          <t>IIT Jodhpur Permanent Campus, NH 62, Karwar</t>
        </is>
      </c>
      <c r="Y97" s="27" t="inlineStr">
        <is>
          <t>Jodhpur</t>
        </is>
      </c>
      <c r="Z97" s="27" t="inlineStr">
        <is>
          <t>Rajasthan</t>
        </is>
      </c>
      <c r="AA97" s="27" t="inlineStr">
        <is>
          <t>342030</t>
        </is>
      </c>
      <c r="AB97" s="30" t="inlineStr">
        <is>
          <t>Official Cohort Registry (IIT Jodhpur MedTech Portal)</t>
        </is>
      </c>
    </row>
    <row r="98" ht="19" customHeight="1">
      <c r="A98" s="21" t="n">
        <v>7</v>
      </c>
      <c r="B98" s="22" t="inlineStr">
        <is>
          <t>M25IM1007</t>
        </is>
      </c>
      <c r="C98" s="23" t="inlineStr">
        <is>
          <t>Neil Lohit Bose</t>
        </is>
      </c>
      <c r="D98" s="21" t="inlineStr">
        <is>
          <t>Masters</t>
        </is>
      </c>
      <c r="E98" s="24" t="inlineStr">
        <is>
          <t>M.Tech in Medical Technology</t>
        </is>
      </c>
      <c r="F98" s="21" t="n">
        <v>2025</v>
      </c>
      <c r="G98" s="21" t="n">
        <v>2027</v>
      </c>
      <c r="H98" s="31" t="inlineStr">
        <is>
          <t>Active</t>
        </is>
      </c>
      <c r="I98" s="24" t="inlineStr">
        <is>
          <t>Medical Technology</t>
        </is>
      </c>
      <c r="J98" s="24" t="inlineStr">
        <is>
          <t>Faculty Board (IDRP / AIIMS-IIT Joint)</t>
        </is>
      </c>
      <c r="K98" s="24" t="inlineStr">
        <is>
          <t>m25im1007@iitj.ac.in</t>
        </is>
      </c>
      <c r="L98" s="21" t="inlineStr">
        <is>
          <t>-</t>
        </is>
      </c>
      <c r="M98" s="21" t="n">
        <v>0</v>
      </c>
      <c r="N98" s="24" t="inlineStr">
        <is>
          <t>-</t>
        </is>
      </c>
      <c r="O98" s="21" t="n">
        <v>0</v>
      </c>
      <c r="P98" s="24" t="inlineStr">
        <is>
          <t>-</t>
        </is>
      </c>
      <c r="Q98" s="21" t="n">
        <v>0</v>
      </c>
      <c r="R98" s="24" t="inlineStr">
        <is>
          <t>-</t>
        </is>
      </c>
      <c r="S98" s="21" t="n">
        <v>0</v>
      </c>
      <c r="T98" s="24" t="inlineStr">
        <is>
          <t>-</t>
        </is>
      </c>
      <c r="U98" s="21" t="inlineStr">
        <is>
          <t>-</t>
        </is>
      </c>
      <c r="V98" s="21" t="inlineStr">
        <is>
          <t>-</t>
        </is>
      </c>
      <c r="W98" s="24" t="inlineStr">
        <is>
          <t>Centre for Medical Technologies (IDRP)</t>
        </is>
      </c>
      <c r="X98" s="24" t="inlineStr">
        <is>
          <t>IIT Jodhpur Permanent Campus, NH 62, Karwar</t>
        </is>
      </c>
      <c r="Y98" s="21" t="inlineStr">
        <is>
          <t>Jodhpur</t>
        </is>
      </c>
      <c r="Z98" s="21" t="inlineStr">
        <is>
          <t>Rajasthan</t>
        </is>
      </c>
      <c r="AA98" s="21" t="inlineStr">
        <is>
          <t>342030</t>
        </is>
      </c>
      <c r="AB98" s="24" t="inlineStr">
        <is>
          <t>Official Cohort Registry (IIT Jodhpur MedTech Portal)</t>
        </is>
      </c>
    </row>
    <row r="99" ht="19" customHeight="1">
      <c r="A99" s="27" t="n">
        <v>8</v>
      </c>
      <c r="B99" s="28" t="inlineStr">
        <is>
          <t>M25IM1008</t>
        </is>
      </c>
      <c r="C99" s="29" t="inlineStr">
        <is>
          <t>Rahul Parmar</t>
        </is>
      </c>
      <c r="D99" s="27" t="inlineStr">
        <is>
          <t>Masters</t>
        </is>
      </c>
      <c r="E99" s="30" t="inlineStr">
        <is>
          <t>M.Tech in Medical Technology</t>
        </is>
      </c>
      <c r="F99" s="27" t="n">
        <v>2025</v>
      </c>
      <c r="G99" s="27" t="n">
        <v>2027</v>
      </c>
      <c r="H99" s="31" t="inlineStr">
        <is>
          <t>Active</t>
        </is>
      </c>
      <c r="I99" s="30" t="inlineStr">
        <is>
          <t>Medical Technology</t>
        </is>
      </c>
      <c r="J99" s="30" t="inlineStr">
        <is>
          <t>Faculty Board (IDRP / AIIMS-IIT Joint)</t>
        </is>
      </c>
      <c r="K99" s="30" t="inlineStr">
        <is>
          <t>m25im1008@iitj.ac.in</t>
        </is>
      </c>
      <c r="L99" s="27" t="inlineStr">
        <is>
          <t>-</t>
        </is>
      </c>
      <c r="M99" s="27" t="n">
        <v>0</v>
      </c>
      <c r="N99" s="30" t="inlineStr">
        <is>
          <t>-</t>
        </is>
      </c>
      <c r="O99" s="27" t="n">
        <v>0</v>
      </c>
      <c r="P99" s="30" t="inlineStr">
        <is>
          <t>-</t>
        </is>
      </c>
      <c r="Q99" s="27" t="n">
        <v>0</v>
      </c>
      <c r="R99" s="30" t="inlineStr">
        <is>
          <t>-</t>
        </is>
      </c>
      <c r="S99" s="27" t="n">
        <v>1</v>
      </c>
      <c r="T99" s="30" t="inlineStr">
        <is>
          <t>1st position, iStart Rajasthan pitch</t>
        </is>
      </c>
      <c r="U99" s="27" t="inlineStr">
        <is>
          <t>-</t>
        </is>
      </c>
      <c r="V99" s="27" t="inlineStr">
        <is>
          <t>-</t>
        </is>
      </c>
      <c r="W99" s="30" t="inlineStr">
        <is>
          <t>Centre for Medical Technologies (IDRP)</t>
        </is>
      </c>
      <c r="X99" s="30" t="inlineStr">
        <is>
          <t>IIT Jodhpur Permanent Campus, NH 62, Karwar</t>
        </is>
      </c>
      <c r="Y99" s="27" t="inlineStr">
        <is>
          <t>Jodhpur</t>
        </is>
      </c>
      <c r="Z99" s="27" t="inlineStr">
        <is>
          <t>Rajasthan</t>
        </is>
      </c>
      <c r="AA99" s="27" t="inlineStr">
        <is>
          <t>342030</t>
        </is>
      </c>
      <c r="AB99" s="30" t="inlineStr">
        <is>
          <t>Official Cohort Registry (IIT Jodhpur MedTech Portal)</t>
        </is>
      </c>
    </row>
    <row r="100" ht="19" customHeight="1">
      <c r="A100" s="21" t="n">
        <v>9</v>
      </c>
      <c r="B100" s="22" t="inlineStr">
        <is>
          <t>M25IM1009</t>
        </is>
      </c>
      <c r="C100" s="23" t="inlineStr">
        <is>
          <t>Komal Meena</t>
        </is>
      </c>
      <c r="D100" s="21" t="inlineStr">
        <is>
          <t>Masters</t>
        </is>
      </c>
      <c r="E100" s="24" t="inlineStr">
        <is>
          <t>M.Tech in Medical Technology</t>
        </is>
      </c>
      <c r="F100" s="21" t="n">
        <v>2025</v>
      </c>
      <c r="G100" s="21" t="n">
        <v>2027</v>
      </c>
      <c r="H100" s="31" t="inlineStr">
        <is>
          <t>Active</t>
        </is>
      </c>
      <c r="I100" s="24" t="inlineStr">
        <is>
          <t>Medical Technology</t>
        </is>
      </c>
      <c r="J100" s="24" t="inlineStr">
        <is>
          <t>Faculty Board (IDRP / AIIMS-IIT Joint)</t>
        </is>
      </c>
      <c r="K100" s="24" t="inlineStr">
        <is>
          <t>m25im1009@iitj.ac.in</t>
        </is>
      </c>
      <c r="L100" s="21" t="inlineStr">
        <is>
          <t>-</t>
        </is>
      </c>
      <c r="M100" s="21" t="n">
        <v>0</v>
      </c>
      <c r="N100" s="24" t="inlineStr">
        <is>
          <t>-</t>
        </is>
      </c>
      <c r="O100" s="21" t="n">
        <v>0</v>
      </c>
      <c r="P100" s="24" t="inlineStr">
        <is>
          <t>-</t>
        </is>
      </c>
      <c r="Q100" s="21" t="n">
        <v>0</v>
      </c>
      <c r="R100" s="24" t="inlineStr">
        <is>
          <t>-</t>
        </is>
      </c>
      <c r="S100" s="21" t="n">
        <v>0</v>
      </c>
      <c r="T100" s="24" t="inlineStr">
        <is>
          <t>-</t>
        </is>
      </c>
      <c r="U100" s="21" t="inlineStr">
        <is>
          <t>-</t>
        </is>
      </c>
      <c r="V100" s="21" t="inlineStr">
        <is>
          <t>-</t>
        </is>
      </c>
      <c r="W100" s="24" t="inlineStr">
        <is>
          <t>Centre for Medical Technologies (IDRP)</t>
        </is>
      </c>
      <c r="X100" s="24" t="inlineStr">
        <is>
          <t>IIT Jodhpur Permanent Campus, NH 62, Karwar</t>
        </is>
      </c>
      <c r="Y100" s="21" t="inlineStr">
        <is>
          <t>Jodhpur</t>
        </is>
      </c>
      <c r="Z100" s="21" t="inlineStr">
        <is>
          <t>Rajasthan</t>
        </is>
      </c>
      <c r="AA100" s="21" t="inlineStr">
        <is>
          <t>342030</t>
        </is>
      </c>
      <c r="AB100" s="24" t="inlineStr">
        <is>
          <t>Official Cohort Registry (IIT Jodhpur MedTech Portal)</t>
        </is>
      </c>
    </row>
    <row r="101" ht="19" customHeight="1">
      <c r="A101" s="27" t="n">
        <v>10</v>
      </c>
      <c r="B101" s="28" t="inlineStr">
        <is>
          <t>M25IM1010</t>
        </is>
      </c>
      <c r="C101" s="29" t="inlineStr">
        <is>
          <t>Vijay Kumar</t>
        </is>
      </c>
      <c r="D101" s="27" t="inlineStr">
        <is>
          <t>Masters</t>
        </is>
      </c>
      <c r="E101" s="30" t="inlineStr">
        <is>
          <t>M.Tech in Medical Technology</t>
        </is>
      </c>
      <c r="F101" s="27" t="n">
        <v>2025</v>
      </c>
      <c r="G101" s="27" t="n">
        <v>2027</v>
      </c>
      <c r="H101" s="31" t="inlineStr">
        <is>
          <t>Active</t>
        </is>
      </c>
      <c r="I101" s="30" t="inlineStr">
        <is>
          <t>Medical Technology</t>
        </is>
      </c>
      <c r="J101" s="30" t="inlineStr">
        <is>
          <t>Faculty Board (IDRP / AIIMS-IIT Joint)</t>
        </is>
      </c>
      <c r="K101" s="30" t="inlineStr">
        <is>
          <t>m25im1010@iitj.ac.in</t>
        </is>
      </c>
      <c r="L101" s="27" t="inlineStr">
        <is>
          <t>-</t>
        </is>
      </c>
      <c r="M101" s="27" t="n">
        <v>0</v>
      </c>
      <c r="N101" s="30" t="inlineStr">
        <is>
          <t>-</t>
        </is>
      </c>
      <c r="O101" s="27" t="n">
        <v>0</v>
      </c>
      <c r="P101" s="30" t="inlineStr">
        <is>
          <t>-</t>
        </is>
      </c>
      <c r="Q101" s="27" t="n">
        <v>0</v>
      </c>
      <c r="R101" s="30" t="inlineStr">
        <is>
          <t>-</t>
        </is>
      </c>
      <c r="S101" s="27" t="n">
        <v>0</v>
      </c>
      <c r="T101" s="30" t="inlineStr">
        <is>
          <t>-</t>
        </is>
      </c>
      <c r="U101" s="27" t="inlineStr">
        <is>
          <t>-</t>
        </is>
      </c>
      <c r="V101" s="27" t="inlineStr">
        <is>
          <t>-</t>
        </is>
      </c>
      <c r="W101" s="30" t="inlineStr">
        <is>
          <t>Centre for Medical Technologies (IDRP)</t>
        </is>
      </c>
      <c r="X101" s="30" t="inlineStr">
        <is>
          <t>IIT Jodhpur Permanent Campus, NH 62, Karwar</t>
        </is>
      </c>
      <c r="Y101" s="27" t="inlineStr">
        <is>
          <t>Jodhpur</t>
        </is>
      </c>
      <c r="Z101" s="27" t="inlineStr">
        <is>
          <t>Rajasthan</t>
        </is>
      </c>
      <c r="AA101" s="27" t="inlineStr">
        <is>
          <t>342030</t>
        </is>
      </c>
      <c r="AB101" s="30" t="inlineStr">
        <is>
          <t>Official Cohort Registry (IIT Jodhpur MedTech Portal)</t>
        </is>
      </c>
    </row>
    <row r="102" ht="19" customHeight="1">
      <c r="A102" s="21" t="n">
        <v>11</v>
      </c>
      <c r="B102" s="22" t="inlineStr">
        <is>
          <t>P25IM0001</t>
        </is>
      </c>
      <c r="C102" s="23" t="inlineStr">
        <is>
          <t>Deepika Yadav</t>
        </is>
      </c>
      <c r="D102" s="21" t="inlineStr">
        <is>
          <t>PhD</t>
        </is>
      </c>
      <c r="E102" s="24" t="inlineStr">
        <is>
          <t>Ph.D. in Medical Technology</t>
        </is>
      </c>
      <c r="F102" s="21" t="n">
        <v>2025</v>
      </c>
      <c r="G102" s="21" t="n">
        <v>2030</v>
      </c>
      <c r="H102" s="31" t="inlineStr">
        <is>
          <t>Active</t>
        </is>
      </c>
      <c r="I102" s="24" t="inlineStr">
        <is>
          <t>Medical Technology</t>
        </is>
      </c>
      <c r="J102" s="24" t="inlineStr">
        <is>
          <t>Faculty Board (IDRP / AIIMS-IIT Joint)</t>
        </is>
      </c>
      <c r="K102" s="24" t="inlineStr">
        <is>
          <t>p25im0001@iitj.ac.in</t>
        </is>
      </c>
      <c r="L102" s="21" t="inlineStr">
        <is>
          <t>-</t>
        </is>
      </c>
      <c r="M102" s="21" t="n">
        <v>0</v>
      </c>
      <c r="N102" s="24" t="inlineStr">
        <is>
          <t>-</t>
        </is>
      </c>
      <c r="O102" s="21" t="n">
        <v>0</v>
      </c>
      <c r="P102" s="24" t="inlineStr">
        <is>
          <t>-</t>
        </is>
      </c>
      <c r="Q102" s="21" t="n">
        <v>0</v>
      </c>
      <c r="R102" s="24" t="inlineStr">
        <is>
          <t>-</t>
        </is>
      </c>
      <c r="S102" s="21" t="n">
        <v>0</v>
      </c>
      <c r="T102" s="24" t="inlineStr">
        <is>
          <t>-</t>
        </is>
      </c>
      <c r="U102" s="21" t="inlineStr">
        <is>
          <t>-</t>
        </is>
      </c>
      <c r="V102" s="21" t="inlineStr">
        <is>
          <t>-</t>
        </is>
      </c>
      <c r="W102" s="24" t="inlineStr">
        <is>
          <t>Centre for Medical Technologies (IDRP)</t>
        </is>
      </c>
      <c r="X102" s="24" t="inlineStr">
        <is>
          <t>IIT Jodhpur Permanent Campus, NH 62, Karwar</t>
        </is>
      </c>
      <c r="Y102" s="21" t="inlineStr">
        <is>
          <t>Jodhpur</t>
        </is>
      </c>
      <c r="Z102" s="21" t="inlineStr">
        <is>
          <t>Rajasthan</t>
        </is>
      </c>
      <c r="AA102" s="21" t="inlineStr">
        <is>
          <t>342030</t>
        </is>
      </c>
      <c r="AB102" s="24" t="inlineStr">
        <is>
          <t>Official Cohort Registry (IIT Jodhpur MedTech Portal)</t>
        </is>
      </c>
    </row>
    <row r="103" ht="19" customHeight="1">
      <c r="A103" s="27" t="n">
        <v>12</v>
      </c>
      <c r="B103" s="28" t="inlineStr">
        <is>
          <t>P25IM0002</t>
        </is>
      </c>
      <c r="C103" s="29" t="inlineStr">
        <is>
          <t>Prachi Chaudhary</t>
        </is>
      </c>
      <c r="D103" s="27" t="inlineStr">
        <is>
          <t>PhD</t>
        </is>
      </c>
      <c r="E103" s="30" t="inlineStr">
        <is>
          <t>Ph.D. in Medical Technology</t>
        </is>
      </c>
      <c r="F103" s="27" t="n">
        <v>2025</v>
      </c>
      <c r="G103" s="27" t="n">
        <v>2030</v>
      </c>
      <c r="H103" s="31" t="inlineStr">
        <is>
          <t>Active</t>
        </is>
      </c>
      <c r="I103" s="30" t="inlineStr">
        <is>
          <t>Medical Technology</t>
        </is>
      </c>
      <c r="J103" s="30" t="inlineStr">
        <is>
          <t>Faculty Board (IDRP / AIIMS-IIT Joint)</t>
        </is>
      </c>
      <c r="K103" s="30" t="inlineStr">
        <is>
          <t>p25im0002@iitj.ac.in</t>
        </is>
      </c>
      <c r="L103" s="27" t="inlineStr">
        <is>
          <t>-</t>
        </is>
      </c>
      <c r="M103" s="27" t="n">
        <v>0</v>
      </c>
      <c r="N103" s="30" t="inlineStr">
        <is>
          <t>-</t>
        </is>
      </c>
      <c r="O103" s="27" t="n">
        <v>0</v>
      </c>
      <c r="P103" s="30" t="inlineStr">
        <is>
          <t>-</t>
        </is>
      </c>
      <c r="Q103" s="27" t="n">
        <v>0</v>
      </c>
      <c r="R103" s="30" t="inlineStr">
        <is>
          <t>-</t>
        </is>
      </c>
      <c r="S103" s="27" t="n">
        <v>0</v>
      </c>
      <c r="T103" s="30" t="inlineStr">
        <is>
          <t>-</t>
        </is>
      </c>
      <c r="U103" s="27" t="inlineStr">
        <is>
          <t>-</t>
        </is>
      </c>
      <c r="V103" s="27" t="inlineStr">
        <is>
          <t>-</t>
        </is>
      </c>
      <c r="W103" s="30" t="inlineStr">
        <is>
          <t>Centre for Medical Technologies (IDRP)</t>
        </is>
      </c>
      <c r="X103" s="30" t="inlineStr">
        <is>
          <t>IIT Jodhpur Permanent Campus, NH 62, Karwar</t>
        </is>
      </c>
      <c r="Y103" s="27" t="inlineStr">
        <is>
          <t>Jodhpur</t>
        </is>
      </c>
      <c r="Z103" s="27" t="inlineStr">
        <is>
          <t>Rajasthan</t>
        </is>
      </c>
      <c r="AA103" s="27" t="inlineStr">
        <is>
          <t>342030</t>
        </is>
      </c>
      <c r="AB103" s="30" t="inlineStr">
        <is>
          <t>Official Cohort Registry (IIT Jodhpur MedTech Portal)</t>
        </is>
      </c>
    </row>
    <row r="104" ht="19" customHeight="1">
      <c r="A104" s="21" t="n">
        <v>13</v>
      </c>
      <c r="B104" s="22" t="inlineStr">
        <is>
          <t>P25IM0003</t>
        </is>
      </c>
      <c r="C104" s="23" t="inlineStr">
        <is>
          <t>Rakshit Vyas</t>
        </is>
      </c>
      <c r="D104" s="21" t="inlineStr">
        <is>
          <t>PhD</t>
        </is>
      </c>
      <c r="E104" s="24" t="inlineStr">
        <is>
          <t>Ph.D. in Medical Technology</t>
        </is>
      </c>
      <c r="F104" s="21" t="n">
        <v>2025</v>
      </c>
      <c r="G104" s="21" t="n">
        <v>2030</v>
      </c>
      <c r="H104" s="31" t="inlineStr">
        <is>
          <t>Active</t>
        </is>
      </c>
      <c r="I104" s="24" t="inlineStr">
        <is>
          <t>Medical Technology</t>
        </is>
      </c>
      <c r="J104" s="24" t="inlineStr">
        <is>
          <t>Faculty Board (IDRP / AIIMS-IIT Joint)</t>
        </is>
      </c>
      <c r="K104" s="24" t="inlineStr">
        <is>
          <t>p25im0003@iitj.ac.in</t>
        </is>
      </c>
      <c r="L104" s="21" t="inlineStr">
        <is>
          <t>-</t>
        </is>
      </c>
      <c r="M104" s="21" t="n">
        <v>0</v>
      </c>
      <c r="N104" s="24" t="inlineStr">
        <is>
          <t>-</t>
        </is>
      </c>
      <c r="O104" s="21" t="n">
        <v>0</v>
      </c>
      <c r="P104" s="24" t="inlineStr">
        <is>
          <t>-</t>
        </is>
      </c>
      <c r="Q104" s="21" t="n">
        <v>0</v>
      </c>
      <c r="R104" s="24" t="inlineStr">
        <is>
          <t>-</t>
        </is>
      </c>
      <c r="S104" s="21" t="n">
        <v>0</v>
      </c>
      <c r="T104" s="24" t="inlineStr">
        <is>
          <t>-</t>
        </is>
      </c>
      <c r="U104" s="21" t="inlineStr">
        <is>
          <t>-</t>
        </is>
      </c>
      <c r="V104" s="21" t="inlineStr">
        <is>
          <t>-</t>
        </is>
      </c>
      <c r="W104" s="24" t="inlineStr">
        <is>
          <t>Centre for Medical Technologies (IDRP)</t>
        </is>
      </c>
      <c r="X104" s="24" t="inlineStr">
        <is>
          <t>IIT Jodhpur Permanent Campus, NH 62, Karwar</t>
        </is>
      </c>
      <c r="Y104" s="21" t="inlineStr">
        <is>
          <t>Jodhpur</t>
        </is>
      </c>
      <c r="Z104" s="21" t="inlineStr">
        <is>
          <t>Rajasthan</t>
        </is>
      </c>
      <c r="AA104" s="21" t="inlineStr">
        <is>
          <t>342030</t>
        </is>
      </c>
      <c r="AB104" s="24" t="inlineStr">
        <is>
          <t>Official Cohort Registry (IIT Jodhpur MedTech Portal)</t>
        </is>
      </c>
    </row>
    <row r="105" ht="19" customHeight="1">
      <c r="A105" s="27" t="n">
        <v>14</v>
      </c>
      <c r="B105" s="28" t="inlineStr">
        <is>
          <t>P25IM0005</t>
        </is>
      </c>
      <c r="C105" s="29" t="inlineStr">
        <is>
          <t>Shweta Yadav</t>
        </is>
      </c>
      <c r="D105" s="27" t="inlineStr">
        <is>
          <t>PhD</t>
        </is>
      </c>
      <c r="E105" s="30" t="inlineStr">
        <is>
          <t>Ph.D. in Medical Technology</t>
        </is>
      </c>
      <c r="F105" s="27" t="n">
        <v>2025</v>
      </c>
      <c r="G105" s="27" t="n">
        <v>2030</v>
      </c>
      <c r="H105" s="31" t="inlineStr">
        <is>
          <t>Active</t>
        </is>
      </c>
      <c r="I105" s="30" t="inlineStr">
        <is>
          <t>Medical Technology</t>
        </is>
      </c>
      <c r="J105" s="30" t="inlineStr">
        <is>
          <t>Faculty Board (IDRP / AIIMS-IIT Joint)</t>
        </is>
      </c>
      <c r="K105" s="30" t="inlineStr">
        <is>
          <t>p25im0005@iitj.ac.in</t>
        </is>
      </c>
      <c r="L105" s="27" t="inlineStr">
        <is>
          <t>-</t>
        </is>
      </c>
      <c r="M105" s="27" t="n">
        <v>0</v>
      </c>
      <c r="N105" s="30" t="inlineStr">
        <is>
          <t>-</t>
        </is>
      </c>
      <c r="O105" s="27" t="n">
        <v>0</v>
      </c>
      <c r="P105" s="30" t="inlineStr">
        <is>
          <t>-</t>
        </is>
      </c>
      <c r="Q105" s="27" t="n">
        <v>0</v>
      </c>
      <c r="R105" s="30" t="inlineStr">
        <is>
          <t>-</t>
        </is>
      </c>
      <c r="S105" s="27" t="n">
        <v>0</v>
      </c>
      <c r="T105" s="30" t="inlineStr">
        <is>
          <t>-</t>
        </is>
      </c>
      <c r="U105" s="27" t="inlineStr">
        <is>
          <t>-</t>
        </is>
      </c>
      <c r="V105" s="27" t="inlineStr">
        <is>
          <t>-</t>
        </is>
      </c>
      <c r="W105" s="30" t="inlineStr">
        <is>
          <t>Centre for Medical Technologies (IDRP)</t>
        </is>
      </c>
      <c r="X105" s="30" t="inlineStr">
        <is>
          <t>IIT Jodhpur Permanent Campus, NH 62, Karwar</t>
        </is>
      </c>
      <c r="Y105" s="27" t="inlineStr">
        <is>
          <t>Jodhpur</t>
        </is>
      </c>
      <c r="Z105" s="27" t="inlineStr">
        <is>
          <t>Rajasthan</t>
        </is>
      </c>
      <c r="AA105" s="27" t="inlineStr">
        <is>
          <t>342030</t>
        </is>
      </c>
      <c r="AB105" s="30" t="inlineStr">
        <is>
          <t>Official Cohort Registry (IIT Jodhpur MedTech Portal)</t>
        </is>
      </c>
    </row>
    <row r="106" ht="19" customHeight="1">
      <c r="A106" s="21" t="n">
        <v>15</v>
      </c>
      <c r="B106" s="22" t="inlineStr">
        <is>
          <t>P25IM0006</t>
        </is>
      </c>
      <c r="C106" s="23" t="inlineStr">
        <is>
          <t>Swati Yadav</t>
        </is>
      </c>
      <c r="D106" s="21" t="inlineStr">
        <is>
          <t>PhD</t>
        </is>
      </c>
      <c r="E106" s="24" t="inlineStr">
        <is>
          <t>Ph.D. in Medical Technology</t>
        </is>
      </c>
      <c r="F106" s="21" t="n">
        <v>2025</v>
      </c>
      <c r="G106" s="21" t="n">
        <v>2030</v>
      </c>
      <c r="H106" s="31" t="inlineStr">
        <is>
          <t>Active</t>
        </is>
      </c>
      <c r="I106" s="24" t="inlineStr">
        <is>
          <t>Medical Technology</t>
        </is>
      </c>
      <c r="J106" s="24" t="inlineStr">
        <is>
          <t>Faculty Board (IDRP / AIIMS-IIT Joint)</t>
        </is>
      </c>
      <c r="K106" s="24" t="inlineStr">
        <is>
          <t>p25im0006@iitj.ac.in</t>
        </is>
      </c>
      <c r="L106" s="21" t="inlineStr">
        <is>
          <t>-</t>
        </is>
      </c>
      <c r="M106" s="21" t="n">
        <v>0</v>
      </c>
      <c r="N106" s="24" t="inlineStr">
        <is>
          <t>-</t>
        </is>
      </c>
      <c r="O106" s="21" t="n">
        <v>0</v>
      </c>
      <c r="P106" s="24" t="inlineStr">
        <is>
          <t>-</t>
        </is>
      </c>
      <c r="Q106" s="21" t="n">
        <v>0</v>
      </c>
      <c r="R106" s="24" t="inlineStr">
        <is>
          <t>-</t>
        </is>
      </c>
      <c r="S106" s="21" t="n">
        <v>0</v>
      </c>
      <c r="T106" s="24" t="inlineStr">
        <is>
          <t>-</t>
        </is>
      </c>
      <c r="U106" s="21" t="inlineStr">
        <is>
          <t>-</t>
        </is>
      </c>
      <c r="V106" s="21" t="inlineStr">
        <is>
          <t>-</t>
        </is>
      </c>
      <c r="W106" s="24" t="inlineStr">
        <is>
          <t>Centre for Medical Technologies (IDRP)</t>
        </is>
      </c>
      <c r="X106" s="24" t="inlineStr">
        <is>
          <t>IIT Jodhpur Permanent Campus, NH 62, Karwar</t>
        </is>
      </c>
      <c r="Y106" s="21" t="inlineStr">
        <is>
          <t>Jodhpur</t>
        </is>
      </c>
      <c r="Z106" s="21" t="inlineStr">
        <is>
          <t>Rajasthan</t>
        </is>
      </c>
      <c r="AA106" s="21" t="inlineStr">
        <is>
          <t>342030</t>
        </is>
      </c>
      <c r="AB106" s="24" t="inlineStr">
        <is>
          <t>Official Cohort Registry (IIT Jodhpur MedTech Portal)</t>
        </is>
      </c>
    </row>
    <row r="107" ht="19" customHeight="1">
      <c r="A107" s="27" t="n">
        <v>16</v>
      </c>
      <c r="B107" s="28" t="inlineStr">
        <is>
          <t>D25IM1001</t>
        </is>
      </c>
      <c r="C107" s="29" t="inlineStr">
        <is>
          <t>Ankur Bhardwaj</t>
        </is>
      </c>
      <c r="D107" s="27" t="inlineStr">
        <is>
          <t>Dual Degree</t>
        </is>
      </c>
      <c r="E107" s="30" t="inlineStr">
        <is>
          <t>M.Tech-Ph.D. Dual Degree in Medical Technology</t>
        </is>
      </c>
      <c r="F107" s="27" t="n">
        <v>2025</v>
      </c>
      <c r="G107" s="27" t="n">
        <v>2030</v>
      </c>
      <c r="H107" s="31" t="inlineStr">
        <is>
          <t>Active</t>
        </is>
      </c>
      <c r="I107" s="30" t="inlineStr">
        <is>
          <t>Medical Technology</t>
        </is>
      </c>
      <c r="J107" s="30" t="inlineStr">
        <is>
          <t>Faculty Board (IDRP / AIIMS-IIT Joint)</t>
        </is>
      </c>
      <c r="K107" s="30" t="inlineStr">
        <is>
          <t>d25im1001@iitj.ac.in</t>
        </is>
      </c>
      <c r="L107" s="27" t="inlineStr">
        <is>
          <t>-</t>
        </is>
      </c>
      <c r="M107" s="27" t="n">
        <v>0</v>
      </c>
      <c r="N107" s="30" t="inlineStr">
        <is>
          <t>-</t>
        </is>
      </c>
      <c r="O107" s="27" t="n">
        <v>0</v>
      </c>
      <c r="P107" s="30" t="inlineStr">
        <is>
          <t>-</t>
        </is>
      </c>
      <c r="Q107" s="27" t="n">
        <v>0</v>
      </c>
      <c r="R107" s="30" t="inlineStr">
        <is>
          <t>-</t>
        </is>
      </c>
      <c r="S107" s="27" t="n">
        <v>0</v>
      </c>
      <c r="T107" s="30" t="inlineStr">
        <is>
          <t>-</t>
        </is>
      </c>
      <c r="U107" s="27" t="inlineStr">
        <is>
          <t>-</t>
        </is>
      </c>
      <c r="V107" s="27" t="inlineStr">
        <is>
          <t>-</t>
        </is>
      </c>
      <c r="W107" s="30" t="inlineStr">
        <is>
          <t>Centre for Medical Technologies (IDRP)</t>
        </is>
      </c>
      <c r="X107" s="30" t="inlineStr">
        <is>
          <t>IIT Jodhpur Permanent Campus, NH 62, Karwar</t>
        </is>
      </c>
      <c r="Y107" s="27" t="inlineStr">
        <is>
          <t>Jodhpur</t>
        </is>
      </c>
      <c r="Z107" s="27" t="inlineStr">
        <is>
          <t>Rajasthan</t>
        </is>
      </c>
      <c r="AA107" s="27" t="inlineStr">
        <is>
          <t>342030</t>
        </is>
      </c>
      <c r="AB107" s="30" t="inlineStr">
        <is>
          <t>Official Cohort Registry (IIT Jodhpur MedTech Portal)</t>
        </is>
      </c>
    </row>
    <row r="108" ht="19" customHeight="1">
      <c r="A108" s="21" t="n">
        <v>17</v>
      </c>
      <c r="B108" s="22" t="inlineStr">
        <is>
          <t>D25IM1002</t>
        </is>
      </c>
      <c r="C108" s="23" t="inlineStr">
        <is>
          <t>Jestin Joseph</t>
        </is>
      </c>
      <c r="D108" s="21" t="inlineStr">
        <is>
          <t>Dual Degree</t>
        </is>
      </c>
      <c r="E108" s="24" t="inlineStr">
        <is>
          <t>M.Tech-Ph.D. Dual Degree in Medical Technology</t>
        </is>
      </c>
      <c r="F108" s="21" t="n">
        <v>2025</v>
      </c>
      <c r="G108" s="21" t="n">
        <v>2030</v>
      </c>
      <c r="H108" s="31" t="inlineStr">
        <is>
          <t>Active</t>
        </is>
      </c>
      <c r="I108" s="24" t="inlineStr">
        <is>
          <t>Medical Technology</t>
        </is>
      </c>
      <c r="J108" s="24" t="inlineStr">
        <is>
          <t>Faculty Board (IDRP / AIIMS-IIT Joint)</t>
        </is>
      </c>
      <c r="K108" s="24" t="inlineStr">
        <is>
          <t>d25im1002@iitj.ac.in</t>
        </is>
      </c>
      <c r="L108" s="21" t="inlineStr">
        <is>
          <t>-</t>
        </is>
      </c>
      <c r="M108" s="21" t="n">
        <v>0</v>
      </c>
      <c r="N108" s="24" t="inlineStr">
        <is>
          <t>-</t>
        </is>
      </c>
      <c r="O108" s="21" t="n">
        <v>0</v>
      </c>
      <c r="P108" s="24" t="inlineStr">
        <is>
          <t>-</t>
        </is>
      </c>
      <c r="Q108" s="21" t="n">
        <v>0</v>
      </c>
      <c r="R108" s="24" t="inlineStr">
        <is>
          <t>-</t>
        </is>
      </c>
      <c r="S108" s="21" t="n">
        <v>0</v>
      </c>
      <c r="T108" s="24" t="inlineStr">
        <is>
          <t>-</t>
        </is>
      </c>
      <c r="U108" s="21" t="inlineStr">
        <is>
          <t>-</t>
        </is>
      </c>
      <c r="V108" s="21" t="inlineStr">
        <is>
          <t>-</t>
        </is>
      </c>
      <c r="W108" s="24" t="inlineStr">
        <is>
          <t>Centre for Medical Technologies (IDRP)</t>
        </is>
      </c>
      <c r="X108" s="24" t="inlineStr">
        <is>
          <t>IIT Jodhpur Permanent Campus, NH 62, Karwar</t>
        </is>
      </c>
      <c r="Y108" s="21" t="inlineStr">
        <is>
          <t>Jodhpur</t>
        </is>
      </c>
      <c r="Z108" s="21" t="inlineStr">
        <is>
          <t>Rajasthan</t>
        </is>
      </c>
      <c r="AA108" s="21" t="inlineStr">
        <is>
          <t>342030</t>
        </is>
      </c>
      <c r="AB108" s="24" t="inlineStr">
        <is>
          <t>Official Cohort Registry (IIT Jodhpur MedTech Portal)</t>
        </is>
      </c>
    </row>
    <row r="109" ht="19" customHeight="1">
      <c r="A109" s="27" t="n">
        <v>18</v>
      </c>
      <c r="B109" s="28" t="inlineStr">
        <is>
          <t>D25IM1005</t>
        </is>
      </c>
      <c r="C109" s="29" t="inlineStr">
        <is>
          <t>Mohammed Fahim C</t>
        </is>
      </c>
      <c r="D109" s="27" t="inlineStr">
        <is>
          <t>Dual Degree</t>
        </is>
      </c>
      <c r="E109" s="30" t="inlineStr">
        <is>
          <t>M.Tech-Ph.D. Dual Degree in Medical Technology</t>
        </is>
      </c>
      <c r="F109" s="27" t="n">
        <v>2025</v>
      </c>
      <c r="G109" s="27" t="n">
        <v>2030</v>
      </c>
      <c r="H109" s="31" t="inlineStr">
        <is>
          <t>Active</t>
        </is>
      </c>
      <c r="I109" s="30" t="inlineStr">
        <is>
          <t>Medical Technology</t>
        </is>
      </c>
      <c r="J109" s="30" t="inlineStr">
        <is>
          <t>Faculty Board (IDRP / AIIMS-IIT Joint)</t>
        </is>
      </c>
      <c r="K109" s="30" t="inlineStr">
        <is>
          <t>d25im1005@iitj.ac.in</t>
        </is>
      </c>
      <c r="L109" s="27" t="inlineStr">
        <is>
          <t>-</t>
        </is>
      </c>
      <c r="M109" s="27" t="n">
        <v>0</v>
      </c>
      <c r="N109" s="30" t="inlineStr">
        <is>
          <t>-</t>
        </is>
      </c>
      <c r="O109" s="27" t="n">
        <v>0</v>
      </c>
      <c r="P109" s="30" t="inlineStr">
        <is>
          <t>-</t>
        </is>
      </c>
      <c r="Q109" s="27" t="n">
        <v>0</v>
      </c>
      <c r="R109" s="30" t="inlineStr">
        <is>
          <t>-</t>
        </is>
      </c>
      <c r="S109" s="27" t="n">
        <v>0</v>
      </c>
      <c r="T109" s="30" t="inlineStr">
        <is>
          <t>-</t>
        </is>
      </c>
      <c r="U109" s="27" t="inlineStr">
        <is>
          <t>-</t>
        </is>
      </c>
      <c r="V109" s="27" t="inlineStr">
        <is>
          <t>-</t>
        </is>
      </c>
      <c r="W109" s="30" t="inlineStr">
        <is>
          <t>Centre for Medical Technologies (IDRP)</t>
        </is>
      </c>
      <c r="X109" s="30" t="inlineStr">
        <is>
          <t>IIT Jodhpur Permanent Campus, NH 62, Karwar</t>
        </is>
      </c>
      <c r="Y109" s="27" t="inlineStr">
        <is>
          <t>Jodhpur</t>
        </is>
      </c>
      <c r="Z109" s="27" t="inlineStr">
        <is>
          <t>Rajasthan</t>
        </is>
      </c>
      <c r="AA109" s="27" t="inlineStr">
        <is>
          <t>342030</t>
        </is>
      </c>
      <c r="AB109" s="30" t="inlineStr">
        <is>
          <t>Official Cohort Registry (IIT Jodhpur MedTech Portal)</t>
        </is>
      </c>
    </row>
    <row r="111" ht="24" customHeight="1">
      <c r="A111" s="32" t="inlineStr">
        <is>
          <t>🎓 ADMISSION COHORT 2026 — Total Scholars: 18 (Masters: 14 | Ph.D.: 4 | Dual Degree: 0)</t>
        </is>
      </c>
      <c r="B111" s="33" t="n"/>
      <c r="C111" s="33" t="n"/>
      <c r="D111" s="33" t="n"/>
      <c r="E111" s="33" t="n"/>
      <c r="F111" s="33" t="n"/>
      <c r="G111" s="33" t="n"/>
      <c r="H111" s="33" t="n"/>
      <c r="I111" s="33" t="n"/>
      <c r="J111" s="33" t="n"/>
      <c r="K111" s="33" t="n"/>
      <c r="L111" s="33" t="n"/>
      <c r="M111" s="33" t="n"/>
      <c r="N111" s="33" t="n"/>
      <c r="O111" s="33" t="n"/>
      <c r="P111" s="33" t="n"/>
      <c r="Q111" s="33" t="n"/>
      <c r="R111" s="33" t="n"/>
      <c r="S111" s="33" t="n"/>
      <c r="T111" s="33" t="n"/>
      <c r="U111" s="33" t="n"/>
      <c r="V111" s="33" t="n"/>
      <c r="W111" s="33" t="n"/>
      <c r="X111" s="33" t="n"/>
      <c r="Y111" s="33" t="n"/>
      <c r="Z111" s="33" t="n"/>
      <c r="AA111" s="33" t="n"/>
      <c r="AB111" s="33" t="n"/>
    </row>
    <row r="112" ht="22" customHeight="1">
      <c r="A112" s="34" t="inlineStr">
        <is>
          <t>S.No.</t>
        </is>
      </c>
      <c r="B112" s="34" t="inlineStr">
        <is>
          <t>Roll Number</t>
        </is>
      </c>
      <c r="C112" s="34" t="inlineStr">
        <is>
          <t>Student Scholar Name</t>
        </is>
      </c>
      <c r="D112" s="34" t="inlineStr">
        <is>
          <t>Program Level</t>
        </is>
      </c>
      <c r="E112" s="34" t="inlineStr">
        <is>
          <t>Degree Program</t>
        </is>
      </c>
      <c r="F112" s="34" t="inlineStr">
        <is>
          <t>Cohort Year</t>
        </is>
      </c>
      <c r="G112" s="34" t="inlineStr">
        <is>
          <t>Graduation Year</t>
        </is>
      </c>
      <c r="H112" s="34" t="inlineStr">
        <is>
          <t>Academic Status</t>
        </is>
      </c>
      <c r="I112" s="34" t="inlineStr">
        <is>
          <t>Specialization &amp; Research Focus</t>
        </is>
      </c>
      <c r="J112" s="34" t="inlineStr">
        <is>
          <t>Faculty Supervisor(s) (IIT &amp; AIIMS)</t>
        </is>
      </c>
      <c r="K112" s="34" t="inlineStr">
        <is>
          <t>Institutional Email</t>
        </is>
      </c>
      <c r="L112" s="34" t="inlineStr">
        <is>
          <t>Contact Phone</t>
        </is>
      </c>
      <c r="M112" s="34" t="inlineStr">
        <is>
          <t>Publications (Count)</t>
        </is>
      </c>
      <c r="N112" s="34" t="inlineStr">
        <is>
          <t>Publication Venues &amp; Papers</t>
        </is>
      </c>
      <c r="O112" s="34" t="inlineStr">
        <is>
          <t>Patents (Count)</t>
        </is>
      </c>
      <c r="P112" s="34" t="inlineStr">
        <is>
          <t>Patent Filings &amp; Application Nos.</t>
        </is>
      </c>
      <c r="Q112" s="34" t="inlineStr">
        <is>
          <t>Startups (Count)</t>
        </is>
      </c>
      <c r="R112" s="34" t="inlineStr">
        <is>
          <t>Startup Ventures &amp; Student Roles</t>
        </is>
      </c>
      <c r="S112" s="34" t="inlineStr">
        <is>
          <t>Awards (Count)</t>
        </is>
      </c>
      <c r="T112" s="34" t="inlineStr">
        <is>
          <t>Awards, Honors &amp; Hackathon Wins</t>
        </is>
      </c>
      <c r="U112" s="34" t="inlineStr">
        <is>
          <t>Date of Birth</t>
        </is>
      </c>
      <c r="V112" s="34" t="inlineStr">
        <is>
          <t>Gender</t>
        </is>
      </c>
      <c r="W112" s="34" t="inlineStr">
        <is>
          <t>Department / Centre</t>
        </is>
      </c>
      <c r="X112" s="34" t="inlineStr">
        <is>
          <t>Campus / Residential Address</t>
        </is>
      </c>
      <c r="Y112" s="34" t="inlineStr">
        <is>
          <t>City</t>
        </is>
      </c>
      <c r="Z112" s="34" t="inlineStr">
        <is>
          <t>State</t>
        </is>
      </c>
      <c r="AA112" s="34" t="inlineStr">
        <is>
          <t>Pincode</t>
        </is>
      </c>
      <c r="AB112" s="34" t="inlineStr">
        <is>
          <t>Verification Source URL / Provenance</t>
        </is>
      </c>
    </row>
    <row r="113" ht="19" customHeight="1">
      <c r="A113" s="21" t="n">
        <v>1</v>
      </c>
      <c r="B113" s="22" t="inlineStr">
        <is>
          <t>M26IM1001</t>
        </is>
      </c>
      <c r="C113" s="23" t="inlineStr">
        <is>
          <t>Ankit Sharma</t>
        </is>
      </c>
      <c r="D113" s="21" t="inlineStr">
        <is>
          <t>Masters</t>
        </is>
      </c>
      <c r="E113" s="24" t="inlineStr">
        <is>
          <t>M.Tech in Medical Technology</t>
        </is>
      </c>
      <c r="F113" s="21" t="n">
        <v>2026</v>
      </c>
      <c r="G113" s="21" t="n">
        <v>2028</v>
      </c>
      <c r="H113" s="31" t="inlineStr">
        <is>
          <t>Active</t>
        </is>
      </c>
      <c r="I113" s="24" t="inlineStr">
        <is>
          <t>Medical Technology</t>
        </is>
      </c>
      <c r="J113" s="24" t="inlineStr">
        <is>
          <t>Faculty Board (IDRP / AIIMS-IIT Joint)</t>
        </is>
      </c>
      <c r="K113" s="24" t="inlineStr">
        <is>
          <t>m26im1001@iitj.ac.in</t>
        </is>
      </c>
      <c r="L113" s="21" t="inlineStr">
        <is>
          <t>-</t>
        </is>
      </c>
      <c r="M113" s="21" t="n">
        <v>0</v>
      </c>
      <c r="N113" s="24" t="inlineStr">
        <is>
          <t>-</t>
        </is>
      </c>
      <c r="O113" s="21" t="n">
        <v>0</v>
      </c>
      <c r="P113" s="24" t="inlineStr">
        <is>
          <t>-</t>
        </is>
      </c>
      <c r="Q113" s="21" t="n">
        <v>0</v>
      </c>
      <c r="R113" s="24" t="inlineStr">
        <is>
          <t>-</t>
        </is>
      </c>
      <c r="S113" s="21" t="n">
        <v>0</v>
      </c>
      <c r="T113" s="24" t="inlineStr">
        <is>
          <t>-</t>
        </is>
      </c>
      <c r="U113" s="21" t="inlineStr">
        <is>
          <t>-</t>
        </is>
      </c>
      <c r="V113" s="21" t="inlineStr">
        <is>
          <t>-</t>
        </is>
      </c>
      <c r="W113" s="24" t="inlineStr">
        <is>
          <t>Centre for Medical Technologies (IDRP)</t>
        </is>
      </c>
      <c r="X113" s="24" t="inlineStr">
        <is>
          <t>IIT Jodhpur Permanent Campus, NH 62, Karwar</t>
        </is>
      </c>
      <c r="Y113" s="21" t="inlineStr">
        <is>
          <t>Jodhpur</t>
        </is>
      </c>
      <c r="Z113" s="21" t="inlineStr">
        <is>
          <t>Rajasthan</t>
        </is>
      </c>
      <c r="AA113" s="21" t="inlineStr">
        <is>
          <t>342030</t>
        </is>
      </c>
      <c r="AB113" s="24" t="inlineStr">
        <is>
          <t>Official Cohort Registry (IIT Jodhpur MedTech Portal)</t>
        </is>
      </c>
    </row>
    <row r="114" ht="19" customHeight="1">
      <c r="A114" s="27" t="n">
        <v>2</v>
      </c>
      <c r="B114" s="28" t="inlineStr">
        <is>
          <t>M26IM10010</t>
        </is>
      </c>
      <c r="C114" s="29" t="inlineStr">
        <is>
          <t>Mrunal Sonawale</t>
        </is>
      </c>
      <c r="D114" s="27" t="inlineStr">
        <is>
          <t>Masters</t>
        </is>
      </c>
      <c r="E114" s="30" t="inlineStr">
        <is>
          <t>M.Tech in Medical Technology</t>
        </is>
      </c>
      <c r="F114" s="27" t="n">
        <v>2026</v>
      </c>
      <c r="G114" s="27" t="n">
        <v>2028</v>
      </c>
      <c r="H114" s="31" t="inlineStr">
        <is>
          <t>Active</t>
        </is>
      </c>
      <c r="I114" s="30" t="inlineStr">
        <is>
          <t>Medical Technology</t>
        </is>
      </c>
      <c r="J114" s="30" t="inlineStr">
        <is>
          <t>Faculty Board (IDRP / AIIMS-IIT Joint)</t>
        </is>
      </c>
      <c r="K114" s="30" t="inlineStr">
        <is>
          <t>m26im10010@iitj.ac.in</t>
        </is>
      </c>
      <c r="L114" s="27" t="inlineStr">
        <is>
          <t>-</t>
        </is>
      </c>
      <c r="M114" s="27" t="n">
        <v>0</v>
      </c>
      <c r="N114" s="30" t="inlineStr">
        <is>
          <t>-</t>
        </is>
      </c>
      <c r="O114" s="27" t="n">
        <v>0</v>
      </c>
      <c r="P114" s="30" t="inlineStr">
        <is>
          <t>-</t>
        </is>
      </c>
      <c r="Q114" s="27" t="n">
        <v>0</v>
      </c>
      <c r="R114" s="30" t="inlineStr">
        <is>
          <t>-</t>
        </is>
      </c>
      <c r="S114" s="27" t="n">
        <v>0</v>
      </c>
      <c r="T114" s="30" t="inlineStr">
        <is>
          <t>-</t>
        </is>
      </c>
      <c r="U114" s="27" t="inlineStr">
        <is>
          <t>-</t>
        </is>
      </c>
      <c r="V114" s="27" t="inlineStr">
        <is>
          <t>-</t>
        </is>
      </c>
      <c r="W114" s="30" t="inlineStr">
        <is>
          <t>Centre for Medical Technologies (IDRP)</t>
        </is>
      </c>
      <c r="X114" s="30" t="inlineStr">
        <is>
          <t>IIT Jodhpur Permanent Campus, NH 62, Karwar</t>
        </is>
      </c>
      <c r="Y114" s="27" t="inlineStr">
        <is>
          <t>Jodhpur</t>
        </is>
      </c>
      <c r="Z114" s="27" t="inlineStr">
        <is>
          <t>Rajasthan</t>
        </is>
      </c>
      <c r="AA114" s="27" t="inlineStr">
        <is>
          <t>342030</t>
        </is>
      </c>
      <c r="AB114" s="30" t="inlineStr">
        <is>
          <t>Official Cohort Registry (IIT Jodhpur MedTech Portal)</t>
        </is>
      </c>
    </row>
    <row r="115" ht="19" customHeight="1">
      <c r="A115" s="21" t="n">
        <v>3</v>
      </c>
      <c r="B115" s="22" t="inlineStr">
        <is>
          <t>M26IM10011</t>
        </is>
      </c>
      <c r="C115" s="23" t="inlineStr">
        <is>
          <t>Paras J Keyravan</t>
        </is>
      </c>
      <c r="D115" s="21" t="inlineStr">
        <is>
          <t>Masters</t>
        </is>
      </c>
      <c r="E115" s="24" t="inlineStr">
        <is>
          <t>M.Tech in Medical Technology</t>
        </is>
      </c>
      <c r="F115" s="21" t="n">
        <v>2026</v>
      </c>
      <c r="G115" s="21" t="n">
        <v>2028</v>
      </c>
      <c r="H115" s="31" t="inlineStr">
        <is>
          <t>Active</t>
        </is>
      </c>
      <c r="I115" s="24" t="inlineStr">
        <is>
          <t>Medical Technology</t>
        </is>
      </c>
      <c r="J115" s="24" t="inlineStr">
        <is>
          <t>Faculty Board (IDRP / AIIMS-IIT Joint)</t>
        </is>
      </c>
      <c r="K115" s="24" t="inlineStr">
        <is>
          <t>m26im10011@iitj.ac.in</t>
        </is>
      </c>
      <c r="L115" s="21" t="inlineStr">
        <is>
          <t>-</t>
        </is>
      </c>
      <c r="M115" s="21" t="n">
        <v>0</v>
      </c>
      <c r="N115" s="24" t="inlineStr">
        <is>
          <t>-</t>
        </is>
      </c>
      <c r="O115" s="21" t="n">
        <v>0</v>
      </c>
      <c r="P115" s="24" t="inlineStr">
        <is>
          <t>-</t>
        </is>
      </c>
      <c r="Q115" s="21" t="n">
        <v>0</v>
      </c>
      <c r="R115" s="24" t="inlineStr">
        <is>
          <t>-</t>
        </is>
      </c>
      <c r="S115" s="21" t="n">
        <v>1</v>
      </c>
      <c r="T115" s="24" t="inlineStr">
        <is>
          <t>1st position, iStart Rajasthan pitch</t>
        </is>
      </c>
      <c r="U115" s="21" t="inlineStr">
        <is>
          <t>-</t>
        </is>
      </c>
      <c r="V115" s="21" t="inlineStr">
        <is>
          <t>-</t>
        </is>
      </c>
      <c r="W115" s="24" t="inlineStr">
        <is>
          <t>Centre for Medical Technologies (IDRP)</t>
        </is>
      </c>
      <c r="X115" s="24" t="inlineStr">
        <is>
          <t>IIT Jodhpur Permanent Campus, NH 62, Karwar</t>
        </is>
      </c>
      <c r="Y115" s="21" t="inlineStr">
        <is>
          <t>Jodhpur</t>
        </is>
      </c>
      <c r="Z115" s="21" t="inlineStr">
        <is>
          <t>Rajasthan</t>
        </is>
      </c>
      <c r="AA115" s="21" t="inlineStr">
        <is>
          <t>342030</t>
        </is>
      </c>
      <c r="AB115" s="24" t="inlineStr">
        <is>
          <t>Official Cohort Registry (IIT Jodhpur MedTech Portal)</t>
        </is>
      </c>
    </row>
    <row r="116" ht="19" customHeight="1">
      <c r="A116" s="27" t="n">
        <v>4</v>
      </c>
      <c r="B116" s="28" t="inlineStr">
        <is>
          <t>M26IM10012</t>
        </is>
      </c>
      <c r="C116" s="29" t="inlineStr">
        <is>
          <t>Siddhant Dinesh Shenvi</t>
        </is>
      </c>
      <c r="D116" s="27" t="inlineStr">
        <is>
          <t>Masters</t>
        </is>
      </c>
      <c r="E116" s="30" t="inlineStr">
        <is>
          <t>M.Tech in Medical Technology</t>
        </is>
      </c>
      <c r="F116" s="27" t="n">
        <v>2026</v>
      </c>
      <c r="G116" s="27" t="n">
        <v>2028</v>
      </c>
      <c r="H116" s="31" t="inlineStr">
        <is>
          <t>Active</t>
        </is>
      </c>
      <c r="I116" s="30" t="inlineStr">
        <is>
          <t>Medical Technology</t>
        </is>
      </c>
      <c r="J116" s="30" t="inlineStr">
        <is>
          <t>Faculty Board (IDRP / AIIMS-IIT Joint)</t>
        </is>
      </c>
      <c r="K116" s="30" t="inlineStr">
        <is>
          <t>m26im10012@iitj.ac.in</t>
        </is>
      </c>
      <c r="L116" s="27" t="inlineStr">
        <is>
          <t>-</t>
        </is>
      </c>
      <c r="M116" s="27" t="n">
        <v>0</v>
      </c>
      <c r="N116" s="30" t="inlineStr">
        <is>
          <t>-</t>
        </is>
      </c>
      <c r="O116" s="27" t="n">
        <v>0</v>
      </c>
      <c r="P116" s="30" t="inlineStr">
        <is>
          <t>-</t>
        </is>
      </c>
      <c r="Q116" s="27" t="n">
        <v>0</v>
      </c>
      <c r="R116" s="30" t="inlineStr">
        <is>
          <t>-</t>
        </is>
      </c>
      <c r="S116" s="27" t="n">
        <v>0</v>
      </c>
      <c r="T116" s="30" t="inlineStr">
        <is>
          <t>-</t>
        </is>
      </c>
      <c r="U116" s="27" t="inlineStr">
        <is>
          <t>-</t>
        </is>
      </c>
      <c r="V116" s="27" t="inlineStr">
        <is>
          <t>-</t>
        </is>
      </c>
      <c r="W116" s="30" t="inlineStr">
        <is>
          <t>Centre for Medical Technologies (IDRP)</t>
        </is>
      </c>
      <c r="X116" s="30" t="inlineStr">
        <is>
          <t>IIT Jodhpur Permanent Campus, NH 62, Karwar</t>
        </is>
      </c>
      <c r="Y116" s="27" t="inlineStr">
        <is>
          <t>Jodhpur</t>
        </is>
      </c>
      <c r="Z116" s="27" t="inlineStr">
        <is>
          <t>Rajasthan</t>
        </is>
      </c>
      <c r="AA116" s="27" t="inlineStr">
        <is>
          <t>342030</t>
        </is>
      </c>
      <c r="AB116" s="30" t="inlineStr">
        <is>
          <t>Official Cohort Registry (IIT Jodhpur MedTech Portal)</t>
        </is>
      </c>
    </row>
    <row r="117" ht="19" customHeight="1">
      <c r="A117" s="21" t="n">
        <v>5</v>
      </c>
      <c r="B117" s="22" t="inlineStr">
        <is>
          <t>M26IM10013</t>
        </is>
      </c>
      <c r="C117" s="23" t="inlineStr">
        <is>
          <t>Swajal Jain</t>
        </is>
      </c>
      <c r="D117" s="21" t="inlineStr">
        <is>
          <t>Masters</t>
        </is>
      </c>
      <c r="E117" s="24" t="inlineStr">
        <is>
          <t>M.Tech in Medical Technology</t>
        </is>
      </c>
      <c r="F117" s="21" t="n">
        <v>2026</v>
      </c>
      <c r="G117" s="21" t="n">
        <v>2028</v>
      </c>
      <c r="H117" s="31" t="inlineStr">
        <is>
          <t>Active</t>
        </is>
      </c>
      <c r="I117" s="24" t="inlineStr">
        <is>
          <t>Medical Technology</t>
        </is>
      </c>
      <c r="J117" s="24" t="inlineStr">
        <is>
          <t>Faculty Board (IDRP / AIIMS-IIT Joint)</t>
        </is>
      </c>
      <c r="K117" s="24" t="inlineStr">
        <is>
          <t>m26im10013@iitj.ac.in</t>
        </is>
      </c>
      <c r="L117" s="21" t="inlineStr">
        <is>
          <t>-</t>
        </is>
      </c>
      <c r="M117" s="21" t="n">
        <v>0</v>
      </c>
      <c r="N117" s="24" t="inlineStr">
        <is>
          <t>-</t>
        </is>
      </c>
      <c r="O117" s="21" t="n">
        <v>0</v>
      </c>
      <c r="P117" s="24" t="inlineStr">
        <is>
          <t>-</t>
        </is>
      </c>
      <c r="Q117" s="21" t="n">
        <v>0</v>
      </c>
      <c r="R117" s="24" t="inlineStr">
        <is>
          <t>-</t>
        </is>
      </c>
      <c r="S117" s="21" t="n">
        <v>0</v>
      </c>
      <c r="T117" s="24" t="inlineStr">
        <is>
          <t>-</t>
        </is>
      </c>
      <c r="U117" s="21" t="inlineStr">
        <is>
          <t>-</t>
        </is>
      </c>
      <c r="V117" s="21" t="inlineStr">
        <is>
          <t>-</t>
        </is>
      </c>
      <c r="W117" s="24" t="inlineStr">
        <is>
          <t>Centre for Medical Technologies (IDRP)</t>
        </is>
      </c>
      <c r="X117" s="24" t="inlineStr">
        <is>
          <t>IIT Jodhpur Permanent Campus, NH 62, Karwar</t>
        </is>
      </c>
      <c r="Y117" s="21" t="inlineStr">
        <is>
          <t>Jodhpur</t>
        </is>
      </c>
      <c r="Z117" s="21" t="inlineStr">
        <is>
          <t>Rajasthan</t>
        </is>
      </c>
      <c r="AA117" s="21" t="inlineStr">
        <is>
          <t>342030</t>
        </is>
      </c>
      <c r="AB117" s="24" t="inlineStr">
        <is>
          <t>Official Cohort Registry (IIT Jodhpur MedTech Portal)</t>
        </is>
      </c>
    </row>
    <row r="118" ht="19" customHeight="1">
      <c r="A118" s="27" t="n">
        <v>6</v>
      </c>
      <c r="B118" s="28" t="inlineStr">
        <is>
          <t>M26IM10014</t>
        </is>
      </c>
      <c r="C118" s="29" t="inlineStr">
        <is>
          <t>Taqsh Singh Chopra</t>
        </is>
      </c>
      <c r="D118" s="27" t="inlineStr">
        <is>
          <t>Masters</t>
        </is>
      </c>
      <c r="E118" s="30" t="inlineStr">
        <is>
          <t>M.Tech in Medical Technology</t>
        </is>
      </c>
      <c r="F118" s="27" t="n">
        <v>2026</v>
      </c>
      <c r="G118" s="27" t="n">
        <v>2028</v>
      </c>
      <c r="H118" s="31" t="inlineStr">
        <is>
          <t>Active</t>
        </is>
      </c>
      <c r="I118" s="30" t="inlineStr">
        <is>
          <t>Medical Technology</t>
        </is>
      </c>
      <c r="J118" s="30" t="inlineStr">
        <is>
          <t>Faculty Board (IDRP / AIIMS-IIT Joint)</t>
        </is>
      </c>
      <c r="K118" s="30" t="inlineStr">
        <is>
          <t>m26im10014@iitj.ac.in</t>
        </is>
      </c>
      <c r="L118" s="27" t="inlineStr">
        <is>
          <t>-</t>
        </is>
      </c>
      <c r="M118" s="27" t="n">
        <v>0</v>
      </c>
      <c r="N118" s="30" t="inlineStr">
        <is>
          <t>-</t>
        </is>
      </c>
      <c r="O118" s="27" t="n">
        <v>0</v>
      </c>
      <c r="P118" s="30" t="inlineStr">
        <is>
          <t>-</t>
        </is>
      </c>
      <c r="Q118" s="27" t="n">
        <v>0</v>
      </c>
      <c r="R118" s="30" t="inlineStr">
        <is>
          <t>-</t>
        </is>
      </c>
      <c r="S118" s="27" t="n">
        <v>0</v>
      </c>
      <c r="T118" s="30" t="inlineStr">
        <is>
          <t>-</t>
        </is>
      </c>
      <c r="U118" s="27" t="inlineStr">
        <is>
          <t>-</t>
        </is>
      </c>
      <c r="V118" s="27" t="inlineStr">
        <is>
          <t>-</t>
        </is>
      </c>
      <c r="W118" s="30" t="inlineStr">
        <is>
          <t>Centre for Medical Technologies (IDRP)</t>
        </is>
      </c>
      <c r="X118" s="30" t="inlineStr">
        <is>
          <t>IIT Jodhpur Permanent Campus, NH 62, Karwar</t>
        </is>
      </c>
      <c r="Y118" s="27" t="inlineStr">
        <is>
          <t>Jodhpur</t>
        </is>
      </c>
      <c r="Z118" s="27" t="inlineStr">
        <is>
          <t>Rajasthan</t>
        </is>
      </c>
      <c r="AA118" s="27" t="inlineStr">
        <is>
          <t>342030</t>
        </is>
      </c>
      <c r="AB118" s="30" t="inlineStr">
        <is>
          <t>Official Cohort Registry (IIT Jodhpur MedTech Portal)</t>
        </is>
      </c>
    </row>
    <row r="119" ht="19" customHeight="1">
      <c r="A119" s="21" t="n">
        <v>7</v>
      </c>
      <c r="B119" s="22" t="inlineStr">
        <is>
          <t>M26IM1002</t>
        </is>
      </c>
      <c r="C119" s="23" t="inlineStr">
        <is>
          <t>Anushka Sharma</t>
        </is>
      </c>
      <c r="D119" s="21" t="inlineStr">
        <is>
          <t>Masters</t>
        </is>
      </c>
      <c r="E119" s="24" t="inlineStr">
        <is>
          <t>M.Tech in Medical Technology</t>
        </is>
      </c>
      <c r="F119" s="21" t="n">
        <v>2026</v>
      </c>
      <c r="G119" s="21" t="n">
        <v>2028</v>
      </c>
      <c r="H119" s="31" t="inlineStr">
        <is>
          <t>Active</t>
        </is>
      </c>
      <c r="I119" s="24" t="inlineStr">
        <is>
          <t>Medical Technology</t>
        </is>
      </c>
      <c r="J119" s="24" t="inlineStr">
        <is>
          <t>Faculty Board (IDRP / AIIMS-IIT Joint)</t>
        </is>
      </c>
      <c r="K119" s="24" t="inlineStr">
        <is>
          <t>m26im1002@iitj.ac.in</t>
        </is>
      </c>
      <c r="L119" s="21" t="inlineStr">
        <is>
          <t>-</t>
        </is>
      </c>
      <c r="M119" s="21" t="n">
        <v>0</v>
      </c>
      <c r="N119" s="24" t="inlineStr">
        <is>
          <t>-</t>
        </is>
      </c>
      <c r="O119" s="21" t="n">
        <v>0</v>
      </c>
      <c r="P119" s="24" t="inlineStr">
        <is>
          <t>-</t>
        </is>
      </c>
      <c r="Q119" s="21" t="n">
        <v>0</v>
      </c>
      <c r="R119" s="24" t="inlineStr">
        <is>
          <t>-</t>
        </is>
      </c>
      <c r="S119" s="21" t="n">
        <v>0</v>
      </c>
      <c r="T119" s="24" t="inlineStr">
        <is>
          <t>-</t>
        </is>
      </c>
      <c r="U119" s="21" t="inlineStr">
        <is>
          <t>-</t>
        </is>
      </c>
      <c r="V119" s="21" t="inlineStr">
        <is>
          <t>-</t>
        </is>
      </c>
      <c r="W119" s="24" t="inlineStr">
        <is>
          <t>Centre for Medical Technologies (IDRP)</t>
        </is>
      </c>
      <c r="X119" s="24" t="inlineStr">
        <is>
          <t>IIT Jodhpur Permanent Campus, NH 62, Karwar</t>
        </is>
      </c>
      <c r="Y119" s="21" t="inlineStr">
        <is>
          <t>Jodhpur</t>
        </is>
      </c>
      <c r="Z119" s="21" t="inlineStr">
        <is>
          <t>Rajasthan</t>
        </is>
      </c>
      <c r="AA119" s="21" t="inlineStr">
        <is>
          <t>342030</t>
        </is>
      </c>
      <c r="AB119" s="24" t="inlineStr">
        <is>
          <t>Official Cohort Registry (IIT Jodhpur MedTech Portal)</t>
        </is>
      </c>
    </row>
    <row r="120" ht="19" customHeight="1">
      <c r="A120" s="27" t="n">
        <v>8</v>
      </c>
      <c r="B120" s="28" t="inlineStr">
        <is>
          <t>M26IM1003</t>
        </is>
      </c>
      <c r="C120" s="29" t="inlineStr">
        <is>
          <t>Ayush Kumar Mishra</t>
        </is>
      </c>
      <c r="D120" s="27" t="inlineStr">
        <is>
          <t>Masters</t>
        </is>
      </c>
      <c r="E120" s="30" t="inlineStr">
        <is>
          <t>M.Tech in Medical Technology</t>
        </is>
      </c>
      <c r="F120" s="27" t="n">
        <v>2026</v>
      </c>
      <c r="G120" s="27" t="n">
        <v>2028</v>
      </c>
      <c r="H120" s="31" t="inlineStr">
        <is>
          <t>Active</t>
        </is>
      </c>
      <c r="I120" s="30" t="inlineStr">
        <is>
          <t>Medical Technology</t>
        </is>
      </c>
      <c r="J120" s="30" t="inlineStr">
        <is>
          <t>Faculty Board (IDRP / AIIMS-IIT Joint)</t>
        </is>
      </c>
      <c r="K120" s="30" t="inlineStr">
        <is>
          <t>m26im1003@iitj.ac.in</t>
        </is>
      </c>
      <c r="L120" s="27" t="inlineStr">
        <is>
          <t>-</t>
        </is>
      </c>
      <c r="M120" s="27" t="n">
        <v>0</v>
      </c>
      <c r="N120" s="30" t="inlineStr">
        <is>
          <t>-</t>
        </is>
      </c>
      <c r="O120" s="27" t="n">
        <v>0</v>
      </c>
      <c r="P120" s="30" t="inlineStr">
        <is>
          <t>-</t>
        </is>
      </c>
      <c r="Q120" s="27" t="n">
        <v>0</v>
      </c>
      <c r="R120" s="30" t="inlineStr">
        <is>
          <t>-</t>
        </is>
      </c>
      <c r="S120" s="27" t="n">
        <v>0</v>
      </c>
      <c r="T120" s="30" t="inlineStr">
        <is>
          <t>-</t>
        </is>
      </c>
      <c r="U120" s="27" t="inlineStr">
        <is>
          <t>-</t>
        </is>
      </c>
      <c r="V120" s="27" t="inlineStr">
        <is>
          <t>-</t>
        </is>
      </c>
      <c r="W120" s="30" t="inlineStr">
        <is>
          <t>Centre for Medical Technologies (IDRP)</t>
        </is>
      </c>
      <c r="X120" s="30" t="inlineStr">
        <is>
          <t>IIT Jodhpur Permanent Campus, NH 62, Karwar</t>
        </is>
      </c>
      <c r="Y120" s="27" t="inlineStr">
        <is>
          <t>Jodhpur</t>
        </is>
      </c>
      <c r="Z120" s="27" t="inlineStr">
        <is>
          <t>Rajasthan</t>
        </is>
      </c>
      <c r="AA120" s="27" t="inlineStr">
        <is>
          <t>342030</t>
        </is>
      </c>
      <c r="AB120" s="30" t="inlineStr">
        <is>
          <t>Official Cohort Registry (IIT Jodhpur MedTech Portal)</t>
        </is>
      </c>
    </row>
    <row r="121" ht="19" customHeight="1">
      <c r="A121" s="21" t="n">
        <v>9</v>
      </c>
      <c r="B121" s="22" t="inlineStr">
        <is>
          <t>M26IM1004</t>
        </is>
      </c>
      <c r="C121" s="23" t="inlineStr">
        <is>
          <t>Chaudhari Pratik Deepak</t>
        </is>
      </c>
      <c r="D121" s="21" t="inlineStr">
        <is>
          <t>Masters</t>
        </is>
      </c>
      <c r="E121" s="24" t="inlineStr">
        <is>
          <t>M.Tech in Medical Technology</t>
        </is>
      </c>
      <c r="F121" s="21" t="n">
        <v>2026</v>
      </c>
      <c r="G121" s="21" t="n">
        <v>2028</v>
      </c>
      <c r="H121" s="31" t="inlineStr">
        <is>
          <t>Active</t>
        </is>
      </c>
      <c r="I121" s="24" t="inlineStr">
        <is>
          <t>Medical Technology</t>
        </is>
      </c>
      <c r="J121" s="24" t="inlineStr">
        <is>
          <t>Faculty Board (IDRP / AIIMS-IIT Joint)</t>
        </is>
      </c>
      <c r="K121" s="24" t="inlineStr">
        <is>
          <t>m26im1004@iitj.ac.in</t>
        </is>
      </c>
      <c r="L121" s="21" t="inlineStr">
        <is>
          <t>-</t>
        </is>
      </c>
      <c r="M121" s="21" t="n">
        <v>0</v>
      </c>
      <c r="N121" s="24" t="inlineStr">
        <is>
          <t>-</t>
        </is>
      </c>
      <c r="O121" s="21" t="n">
        <v>0</v>
      </c>
      <c r="P121" s="24" t="inlineStr">
        <is>
          <t>-</t>
        </is>
      </c>
      <c r="Q121" s="21" t="n">
        <v>0</v>
      </c>
      <c r="R121" s="24" t="inlineStr">
        <is>
          <t>-</t>
        </is>
      </c>
      <c r="S121" s="21" t="n">
        <v>0</v>
      </c>
      <c r="T121" s="24" t="inlineStr">
        <is>
          <t>-</t>
        </is>
      </c>
      <c r="U121" s="21" t="inlineStr">
        <is>
          <t>-</t>
        </is>
      </c>
      <c r="V121" s="21" t="inlineStr">
        <is>
          <t>-</t>
        </is>
      </c>
      <c r="W121" s="24" t="inlineStr">
        <is>
          <t>Centre for Medical Technologies (IDRP)</t>
        </is>
      </c>
      <c r="X121" s="24" t="inlineStr">
        <is>
          <t>IIT Jodhpur Permanent Campus, NH 62, Karwar</t>
        </is>
      </c>
      <c r="Y121" s="21" t="inlineStr">
        <is>
          <t>Jodhpur</t>
        </is>
      </c>
      <c r="Z121" s="21" t="inlineStr">
        <is>
          <t>Rajasthan</t>
        </is>
      </c>
      <c r="AA121" s="21" t="inlineStr">
        <is>
          <t>342030</t>
        </is>
      </c>
      <c r="AB121" s="24" t="inlineStr">
        <is>
          <t>Official Cohort Registry (IIT Jodhpur MedTech Portal)</t>
        </is>
      </c>
    </row>
    <row r="122" ht="19" customHeight="1">
      <c r="A122" s="27" t="n">
        <v>10</v>
      </c>
      <c r="B122" s="28" t="inlineStr">
        <is>
          <t>M26IM1005</t>
        </is>
      </c>
      <c r="C122" s="29" t="inlineStr">
        <is>
          <t>Eshitaa Panwar</t>
        </is>
      </c>
      <c r="D122" s="27" t="inlineStr">
        <is>
          <t>Masters</t>
        </is>
      </c>
      <c r="E122" s="30" t="inlineStr">
        <is>
          <t>M.Tech in Medical Technology</t>
        </is>
      </c>
      <c r="F122" s="27" t="n">
        <v>2026</v>
      </c>
      <c r="G122" s="27" t="n">
        <v>2028</v>
      </c>
      <c r="H122" s="31" t="inlineStr">
        <is>
          <t>Active</t>
        </is>
      </c>
      <c r="I122" s="30" t="inlineStr">
        <is>
          <t>Medical Technology</t>
        </is>
      </c>
      <c r="J122" s="30" t="inlineStr">
        <is>
          <t>Faculty Board (IDRP / AIIMS-IIT Joint)</t>
        </is>
      </c>
      <c r="K122" s="30" t="inlineStr">
        <is>
          <t>m26im1005@iitj.ac.in</t>
        </is>
      </c>
      <c r="L122" s="27" t="inlineStr">
        <is>
          <t>-</t>
        </is>
      </c>
      <c r="M122" s="27" t="n">
        <v>0</v>
      </c>
      <c r="N122" s="30" t="inlineStr">
        <is>
          <t>-</t>
        </is>
      </c>
      <c r="O122" s="27" t="n">
        <v>0</v>
      </c>
      <c r="P122" s="30" t="inlineStr">
        <is>
          <t>-</t>
        </is>
      </c>
      <c r="Q122" s="27" t="n">
        <v>0</v>
      </c>
      <c r="R122" s="30" t="inlineStr">
        <is>
          <t>-</t>
        </is>
      </c>
      <c r="S122" s="27" t="n">
        <v>0</v>
      </c>
      <c r="T122" s="30" t="inlineStr">
        <is>
          <t>-</t>
        </is>
      </c>
      <c r="U122" s="27" t="inlineStr">
        <is>
          <t>-</t>
        </is>
      </c>
      <c r="V122" s="27" t="inlineStr">
        <is>
          <t>-</t>
        </is>
      </c>
      <c r="W122" s="30" t="inlineStr">
        <is>
          <t>Centre for Medical Technologies (IDRP)</t>
        </is>
      </c>
      <c r="X122" s="30" t="inlineStr">
        <is>
          <t>IIT Jodhpur Permanent Campus, NH 62, Karwar</t>
        </is>
      </c>
      <c r="Y122" s="27" t="inlineStr">
        <is>
          <t>Jodhpur</t>
        </is>
      </c>
      <c r="Z122" s="27" t="inlineStr">
        <is>
          <t>Rajasthan</t>
        </is>
      </c>
      <c r="AA122" s="27" t="inlineStr">
        <is>
          <t>342030</t>
        </is>
      </c>
      <c r="AB122" s="30" t="inlineStr">
        <is>
          <t>Official Cohort Registry (IIT Jodhpur MedTech Portal)</t>
        </is>
      </c>
    </row>
    <row r="123" ht="19" customHeight="1">
      <c r="A123" s="21" t="n">
        <v>11</v>
      </c>
      <c r="B123" s="22" t="inlineStr">
        <is>
          <t>M26IM1006</t>
        </is>
      </c>
      <c r="C123" s="23" t="inlineStr">
        <is>
          <t>Kishore V</t>
        </is>
      </c>
      <c r="D123" s="21" t="inlineStr">
        <is>
          <t>Masters</t>
        </is>
      </c>
      <c r="E123" s="24" t="inlineStr">
        <is>
          <t>M.Tech in Medical Technology</t>
        </is>
      </c>
      <c r="F123" s="21" t="n">
        <v>2026</v>
      </c>
      <c r="G123" s="21" t="n">
        <v>2028</v>
      </c>
      <c r="H123" s="31" t="inlineStr">
        <is>
          <t>Active</t>
        </is>
      </c>
      <c r="I123" s="24" t="inlineStr">
        <is>
          <t>Medical Technology</t>
        </is>
      </c>
      <c r="J123" s="24" t="inlineStr">
        <is>
          <t>Faculty Board (IDRP / AIIMS-IIT Joint)</t>
        </is>
      </c>
      <c r="K123" s="24" t="inlineStr">
        <is>
          <t>m26im1006@iitj.ac.in</t>
        </is>
      </c>
      <c r="L123" s="21" t="inlineStr">
        <is>
          <t>-</t>
        </is>
      </c>
      <c r="M123" s="21" t="n">
        <v>0</v>
      </c>
      <c r="N123" s="24" t="inlineStr">
        <is>
          <t>-</t>
        </is>
      </c>
      <c r="O123" s="21" t="n">
        <v>0</v>
      </c>
      <c r="P123" s="24" t="inlineStr">
        <is>
          <t>-</t>
        </is>
      </c>
      <c r="Q123" s="21" t="n">
        <v>0</v>
      </c>
      <c r="R123" s="24" t="inlineStr">
        <is>
          <t>-</t>
        </is>
      </c>
      <c r="S123" s="21" t="n">
        <v>0</v>
      </c>
      <c r="T123" s="24" t="inlineStr">
        <is>
          <t>-</t>
        </is>
      </c>
      <c r="U123" s="21" t="inlineStr">
        <is>
          <t>-</t>
        </is>
      </c>
      <c r="V123" s="21" t="inlineStr">
        <is>
          <t>-</t>
        </is>
      </c>
      <c r="W123" s="24" t="inlineStr">
        <is>
          <t>Centre for Medical Technologies (IDRP)</t>
        </is>
      </c>
      <c r="X123" s="24" t="inlineStr">
        <is>
          <t>IIT Jodhpur Permanent Campus, NH 62, Karwar</t>
        </is>
      </c>
      <c r="Y123" s="21" t="inlineStr">
        <is>
          <t>Jodhpur</t>
        </is>
      </c>
      <c r="Z123" s="21" t="inlineStr">
        <is>
          <t>Rajasthan</t>
        </is>
      </c>
      <c r="AA123" s="21" t="inlineStr">
        <is>
          <t>342030</t>
        </is>
      </c>
      <c r="AB123" s="24" t="inlineStr">
        <is>
          <t>Official Cohort Registry (IIT Jodhpur MedTech Portal)</t>
        </is>
      </c>
    </row>
    <row r="124" ht="19" customHeight="1">
      <c r="A124" s="27" t="n">
        <v>12</v>
      </c>
      <c r="B124" s="28" t="inlineStr">
        <is>
          <t>M26IM1007</t>
        </is>
      </c>
      <c r="C124" s="29" t="inlineStr">
        <is>
          <t>Mahendra Bishnoi</t>
        </is>
      </c>
      <c r="D124" s="27" t="inlineStr">
        <is>
          <t>Masters</t>
        </is>
      </c>
      <c r="E124" s="30" t="inlineStr">
        <is>
          <t>M.Tech in Medical Technology</t>
        </is>
      </c>
      <c r="F124" s="27" t="n">
        <v>2026</v>
      </c>
      <c r="G124" s="27" t="n">
        <v>2028</v>
      </c>
      <c r="H124" s="31" t="inlineStr">
        <is>
          <t>Active</t>
        </is>
      </c>
      <c r="I124" s="30" t="inlineStr">
        <is>
          <t>Medical Technology</t>
        </is>
      </c>
      <c r="J124" s="30" t="inlineStr">
        <is>
          <t>Faculty Board (IDRP / AIIMS-IIT Joint)</t>
        </is>
      </c>
      <c r="K124" s="30" t="inlineStr">
        <is>
          <t>m26im1007@iitj.ac.in</t>
        </is>
      </c>
      <c r="L124" s="27" t="inlineStr">
        <is>
          <t>-</t>
        </is>
      </c>
      <c r="M124" s="27" t="n">
        <v>0</v>
      </c>
      <c r="N124" s="30" t="inlineStr">
        <is>
          <t>-</t>
        </is>
      </c>
      <c r="O124" s="27" t="n">
        <v>0</v>
      </c>
      <c r="P124" s="30" t="inlineStr">
        <is>
          <t>-</t>
        </is>
      </c>
      <c r="Q124" s="27" t="n">
        <v>0</v>
      </c>
      <c r="R124" s="30" t="inlineStr">
        <is>
          <t>-</t>
        </is>
      </c>
      <c r="S124" s="27" t="n">
        <v>0</v>
      </c>
      <c r="T124" s="30" t="inlineStr">
        <is>
          <t>-</t>
        </is>
      </c>
      <c r="U124" s="27" t="inlineStr">
        <is>
          <t>-</t>
        </is>
      </c>
      <c r="V124" s="27" t="inlineStr">
        <is>
          <t>-</t>
        </is>
      </c>
      <c r="W124" s="30" t="inlineStr">
        <is>
          <t>Centre for Medical Technologies (IDRP)</t>
        </is>
      </c>
      <c r="X124" s="30" t="inlineStr">
        <is>
          <t>IIT Jodhpur Permanent Campus, NH 62, Karwar</t>
        </is>
      </c>
      <c r="Y124" s="27" t="inlineStr">
        <is>
          <t>Jodhpur</t>
        </is>
      </c>
      <c r="Z124" s="27" t="inlineStr">
        <is>
          <t>Rajasthan</t>
        </is>
      </c>
      <c r="AA124" s="27" t="inlineStr">
        <is>
          <t>342030</t>
        </is>
      </c>
      <c r="AB124" s="30" t="inlineStr">
        <is>
          <t>Official Cohort Registry (IIT Jodhpur MedTech Portal)</t>
        </is>
      </c>
    </row>
    <row r="125" ht="19" customHeight="1">
      <c r="A125" s="21" t="n">
        <v>13</v>
      </c>
      <c r="B125" s="22" t="inlineStr">
        <is>
          <t>M26IM1008</t>
        </is>
      </c>
      <c r="C125" s="23" t="inlineStr">
        <is>
          <t>Maheshiv Prajapat</t>
        </is>
      </c>
      <c r="D125" s="21" t="inlineStr">
        <is>
          <t>Masters</t>
        </is>
      </c>
      <c r="E125" s="24" t="inlineStr">
        <is>
          <t>M.Tech in Medical Technology</t>
        </is>
      </c>
      <c r="F125" s="21" t="n">
        <v>2026</v>
      </c>
      <c r="G125" s="21" t="n">
        <v>2028</v>
      </c>
      <c r="H125" s="31" t="inlineStr">
        <is>
          <t>Active</t>
        </is>
      </c>
      <c r="I125" s="24" t="inlineStr">
        <is>
          <t>Medical Technology</t>
        </is>
      </c>
      <c r="J125" s="24" t="inlineStr">
        <is>
          <t>Faculty Board (IDRP / AIIMS-IIT Joint)</t>
        </is>
      </c>
      <c r="K125" s="24" t="inlineStr">
        <is>
          <t>m26im1008@iitj.ac.in</t>
        </is>
      </c>
      <c r="L125" s="21" t="inlineStr">
        <is>
          <t>-</t>
        </is>
      </c>
      <c r="M125" s="21" t="n">
        <v>0</v>
      </c>
      <c r="N125" s="24" t="inlineStr">
        <is>
          <t>-</t>
        </is>
      </c>
      <c r="O125" s="21" t="n">
        <v>0</v>
      </c>
      <c r="P125" s="24" t="inlineStr">
        <is>
          <t>-</t>
        </is>
      </c>
      <c r="Q125" s="21" t="n">
        <v>0</v>
      </c>
      <c r="R125" s="24" t="inlineStr">
        <is>
          <t>-</t>
        </is>
      </c>
      <c r="S125" s="21" t="n">
        <v>0</v>
      </c>
      <c r="T125" s="24" t="inlineStr">
        <is>
          <t>-</t>
        </is>
      </c>
      <c r="U125" s="21" t="inlineStr">
        <is>
          <t>-</t>
        </is>
      </c>
      <c r="V125" s="21" t="inlineStr">
        <is>
          <t>-</t>
        </is>
      </c>
      <c r="W125" s="24" t="inlineStr">
        <is>
          <t>Centre for Medical Technologies (IDRP)</t>
        </is>
      </c>
      <c r="X125" s="24" t="inlineStr">
        <is>
          <t>IIT Jodhpur Permanent Campus, NH 62, Karwar</t>
        </is>
      </c>
      <c r="Y125" s="21" t="inlineStr">
        <is>
          <t>Jodhpur</t>
        </is>
      </c>
      <c r="Z125" s="21" t="inlineStr">
        <is>
          <t>Rajasthan</t>
        </is>
      </c>
      <c r="AA125" s="21" t="inlineStr">
        <is>
          <t>342030</t>
        </is>
      </c>
      <c r="AB125" s="24" t="inlineStr">
        <is>
          <t>Official Cohort Registry (IIT Jodhpur MedTech Portal)</t>
        </is>
      </c>
    </row>
    <row r="126" ht="19" customHeight="1">
      <c r="A126" s="27" t="n">
        <v>14</v>
      </c>
      <c r="B126" s="28" t="inlineStr">
        <is>
          <t>M26IM1009</t>
        </is>
      </c>
      <c r="C126" s="29" t="inlineStr">
        <is>
          <t>Megha Bharadwaj</t>
        </is>
      </c>
      <c r="D126" s="27" t="inlineStr">
        <is>
          <t>Masters</t>
        </is>
      </c>
      <c r="E126" s="30" t="inlineStr">
        <is>
          <t>M.Tech in Medical Technology</t>
        </is>
      </c>
      <c r="F126" s="27" t="n">
        <v>2026</v>
      </c>
      <c r="G126" s="27" t="n">
        <v>2028</v>
      </c>
      <c r="H126" s="31" t="inlineStr">
        <is>
          <t>Active</t>
        </is>
      </c>
      <c r="I126" s="30" t="inlineStr">
        <is>
          <t>Medical Technology</t>
        </is>
      </c>
      <c r="J126" s="30" t="inlineStr">
        <is>
          <t>Faculty Board (IDRP / AIIMS-IIT Joint)</t>
        </is>
      </c>
      <c r="K126" s="30" t="inlineStr">
        <is>
          <t>m26im1009@iitj.ac.in</t>
        </is>
      </c>
      <c r="L126" s="27" t="inlineStr">
        <is>
          <t>-</t>
        </is>
      </c>
      <c r="M126" s="27" t="n">
        <v>0</v>
      </c>
      <c r="N126" s="30" t="inlineStr">
        <is>
          <t>-</t>
        </is>
      </c>
      <c r="O126" s="27" t="n">
        <v>0</v>
      </c>
      <c r="P126" s="30" t="inlineStr">
        <is>
          <t>-</t>
        </is>
      </c>
      <c r="Q126" s="27" t="n">
        <v>0</v>
      </c>
      <c r="R126" s="30" t="inlineStr">
        <is>
          <t>-</t>
        </is>
      </c>
      <c r="S126" s="27" t="n">
        <v>0</v>
      </c>
      <c r="T126" s="30" t="inlineStr">
        <is>
          <t>-</t>
        </is>
      </c>
      <c r="U126" s="27" t="inlineStr">
        <is>
          <t>-</t>
        </is>
      </c>
      <c r="V126" s="27" t="inlineStr">
        <is>
          <t>-</t>
        </is>
      </c>
      <c r="W126" s="30" t="inlineStr">
        <is>
          <t>Centre for Medical Technologies (IDRP)</t>
        </is>
      </c>
      <c r="X126" s="30" t="inlineStr">
        <is>
          <t>IIT Jodhpur Permanent Campus, NH 62, Karwar</t>
        </is>
      </c>
      <c r="Y126" s="27" t="inlineStr">
        <is>
          <t>Jodhpur</t>
        </is>
      </c>
      <c r="Z126" s="27" t="inlineStr">
        <is>
          <t>Rajasthan</t>
        </is>
      </c>
      <c r="AA126" s="27" t="inlineStr">
        <is>
          <t>342030</t>
        </is>
      </c>
      <c r="AB126" s="30" t="inlineStr">
        <is>
          <t>Official Cohort Registry (IIT Jodhpur MedTech Portal)</t>
        </is>
      </c>
    </row>
    <row r="127" ht="19" customHeight="1">
      <c r="A127" s="21" t="n">
        <v>15</v>
      </c>
      <c r="B127" s="22" t="inlineStr">
        <is>
          <t>P26IM0001</t>
        </is>
      </c>
      <c r="C127" s="23" t="inlineStr">
        <is>
          <t>Bhanu Pratap Singh Chauhan</t>
        </is>
      </c>
      <c r="D127" s="21" t="inlineStr">
        <is>
          <t>PhD</t>
        </is>
      </c>
      <c r="E127" s="24" t="inlineStr">
        <is>
          <t>Ph.D. in Medical Technology</t>
        </is>
      </c>
      <c r="F127" s="21" t="n">
        <v>2026</v>
      </c>
      <c r="G127" s="21" t="n">
        <v>2031</v>
      </c>
      <c r="H127" s="31" t="inlineStr">
        <is>
          <t>Active</t>
        </is>
      </c>
      <c r="I127" s="24" t="inlineStr">
        <is>
          <t>Medical Technology</t>
        </is>
      </c>
      <c r="J127" s="24" t="inlineStr">
        <is>
          <t>Faculty Board (IDRP / AIIMS-IIT Joint)</t>
        </is>
      </c>
      <c r="K127" s="24" t="inlineStr">
        <is>
          <t>p26im0001@iitj.ac.in</t>
        </is>
      </c>
      <c r="L127" s="21" t="inlineStr">
        <is>
          <t>-</t>
        </is>
      </c>
      <c r="M127" s="21" t="n">
        <v>0</v>
      </c>
      <c r="N127" s="24" t="inlineStr">
        <is>
          <t>-</t>
        </is>
      </c>
      <c r="O127" s="21" t="n">
        <v>0</v>
      </c>
      <c r="P127" s="24" t="inlineStr">
        <is>
          <t>-</t>
        </is>
      </c>
      <c r="Q127" s="21" t="n">
        <v>0</v>
      </c>
      <c r="R127" s="24" t="inlineStr">
        <is>
          <t>-</t>
        </is>
      </c>
      <c r="S127" s="21" t="n">
        <v>0</v>
      </c>
      <c r="T127" s="24" t="inlineStr">
        <is>
          <t>-</t>
        </is>
      </c>
      <c r="U127" s="21" t="inlineStr">
        <is>
          <t>-</t>
        </is>
      </c>
      <c r="V127" s="21" t="inlineStr">
        <is>
          <t>-</t>
        </is>
      </c>
      <c r="W127" s="24" t="inlineStr">
        <is>
          <t>Centre for Medical Technologies (IDRP)</t>
        </is>
      </c>
      <c r="X127" s="24" t="inlineStr">
        <is>
          <t>IIT Jodhpur Permanent Campus, NH 62, Karwar</t>
        </is>
      </c>
      <c r="Y127" s="21" t="inlineStr">
        <is>
          <t>Jodhpur</t>
        </is>
      </c>
      <c r="Z127" s="21" t="inlineStr">
        <is>
          <t>Rajasthan</t>
        </is>
      </c>
      <c r="AA127" s="21" t="inlineStr">
        <is>
          <t>342030</t>
        </is>
      </c>
      <c r="AB127" s="24" t="inlineStr">
        <is>
          <t>Official Cohort Registry (IIT Jodhpur MedTech Portal)</t>
        </is>
      </c>
    </row>
    <row r="128" ht="19" customHeight="1">
      <c r="A128" s="27" t="n">
        <v>16</v>
      </c>
      <c r="B128" s="28" t="inlineStr">
        <is>
          <t>P26IM0002</t>
        </is>
      </c>
      <c r="C128" s="29" t="inlineStr">
        <is>
          <t>Chahat Bawa</t>
        </is>
      </c>
      <c r="D128" s="27" t="inlineStr">
        <is>
          <t>PhD</t>
        </is>
      </c>
      <c r="E128" s="30" t="inlineStr">
        <is>
          <t>Ph.D. in Medical Technology</t>
        </is>
      </c>
      <c r="F128" s="27" t="n">
        <v>2026</v>
      </c>
      <c r="G128" s="27" t="n">
        <v>2031</v>
      </c>
      <c r="H128" s="31" t="inlineStr">
        <is>
          <t>Active</t>
        </is>
      </c>
      <c r="I128" s="30" t="inlineStr">
        <is>
          <t>Medical Technology</t>
        </is>
      </c>
      <c r="J128" s="30" t="inlineStr">
        <is>
          <t>Faculty Board (IDRP / AIIMS-IIT Joint)</t>
        </is>
      </c>
      <c r="K128" s="30" t="inlineStr">
        <is>
          <t>p26im0002@iitj.ac.in</t>
        </is>
      </c>
      <c r="L128" s="27" t="inlineStr">
        <is>
          <t>-</t>
        </is>
      </c>
      <c r="M128" s="27" t="n">
        <v>0</v>
      </c>
      <c r="N128" s="30" t="inlineStr">
        <is>
          <t>-</t>
        </is>
      </c>
      <c r="O128" s="27" t="n">
        <v>0</v>
      </c>
      <c r="P128" s="30" t="inlineStr">
        <is>
          <t>-</t>
        </is>
      </c>
      <c r="Q128" s="27" t="n">
        <v>0</v>
      </c>
      <c r="R128" s="30" t="inlineStr">
        <is>
          <t>-</t>
        </is>
      </c>
      <c r="S128" s="27" t="n">
        <v>0</v>
      </c>
      <c r="T128" s="30" t="inlineStr">
        <is>
          <t>-</t>
        </is>
      </c>
      <c r="U128" s="27" t="inlineStr">
        <is>
          <t>-</t>
        </is>
      </c>
      <c r="V128" s="27" t="inlineStr">
        <is>
          <t>-</t>
        </is>
      </c>
      <c r="W128" s="30" t="inlineStr">
        <is>
          <t>Centre for Medical Technologies (IDRP)</t>
        </is>
      </c>
      <c r="X128" s="30" t="inlineStr">
        <is>
          <t>IIT Jodhpur Permanent Campus, NH 62, Karwar</t>
        </is>
      </c>
      <c r="Y128" s="27" t="inlineStr">
        <is>
          <t>Jodhpur</t>
        </is>
      </c>
      <c r="Z128" s="27" t="inlineStr">
        <is>
          <t>Rajasthan</t>
        </is>
      </c>
      <c r="AA128" s="27" t="inlineStr">
        <is>
          <t>342030</t>
        </is>
      </c>
      <c r="AB128" s="30" t="inlineStr">
        <is>
          <t>Official Cohort Registry (IIT Jodhpur MedTech Portal)</t>
        </is>
      </c>
    </row>
    <row r="129" ht="19" customHeight="1">
      <c r="A129" s="21" t="n">
        <v>17</v>
      </c>
      <c r="B129" s="22" t="inlineStr">
        <is>
          <t>P26IM0003</t>
        </is>
      </c>
      <c r="C129" s="23" t="inlineStr">
        <is>
          <t>Pooja</t>
        </is>
      </c>
      <c r="D129" s="21" t="inlineStr">
        <is>
          <t>PhD</t>
        </is>
      </c>
      <c r="E129" s="24" t="inlineStr">
        <is>
          <t>Ph.D. in Medical Technology</t>
        </is>
      </c>
      <c r="F129" s="21" t="n">
        <v>2026</v>
      </c>
      <c r="G129" s="21" t="n">
        <v>2031</v>
      </c>
      <c r="H129" s="31" t="inlineStr">
        <is>
          <t>Active</t>
        </is>
      </c>
      <c r="I129" s="24" t="inlineStr">
        <is>
          <t>Medical Technology</t>
        </is>
      </c>
      <c r="J129" s="24" t="inlineStr">
        <is>
          <t>Faculty Board (IDRP / AIIMS-IIT Joint)</t>
        </is>
      </c>
      <c r="K129" s="24" t="inlineStr">
        <is>
          <t>p26im0003@iitj.ac.in</t>
        </is>
      </c>
      <c r="L129" s="21" t="inlineStr">
        <is>
          <t>-</t>
        </is>
      </c>
      <c r="M129" s="21" t="n">
        <v>0</v>
      </c>
      <c r="N129" s="24" t="inlineStr">
        <is>
          <t>-</t>
        </is>
      </c>
      <c r="O129" s="21" t="n">
        <v>0</v>
      </c>
      <c r="P129" s="24" t="inlineStr">
        <is>
          <t>-</t>
        </is>
      </c>
      <c r="Q129" s="21" t="n">
        <v>0</v>
      </c>
      <c r="R129" s="24" t="inlineStr">
        <is>
          <t>-</t>
        </is>
      </c>
      <c r="S129" s="21" t="n">
        <v>0</v>
      </c>
      <c r="T129" s="24" t="inlineStr">
        <is>
          <t>-</t>
        </is>
      </c>
      <c r="U129" s="21" t="inlineStr">
        <is>
          <t>-</t>
        </is>
      </c>
      <c r="V129" s="21" t="inlineStr">
        <is>
          <t>-</t>
        </is>
      </c>
      <c r="W129" s="24" t="inlineStr">
        <is>
          <t>Centre for Medical Technologies (IDRP)</t>
        </is>
      </c>
      <c r="X129" s="24" t="inlineStr">
        <is>
          <t>IIT Jodhpur Permanent Campus, NH 62, Karwar</t>
        </is>
      </c>
      <c r="Y129" s="21" t="inlineStr">
        <is>
          <t>Jodhpur</t>
        </is>
      </c>
      <c r="Z129" s="21" t="inlineStr">
        <is>
          <t>Rajasthan</t>
        </is>
      </c>
      <c r="AA129" s="21" t="inlineStr">
        <is>
          <t>342030</t>
        </is>
      </c>
      <c r="AB129" s="24" t="inlineStr">
        <is>
          <t>Official Cohort Registry (IIT Jodhpur MedTech Portal)</t>
        </is>
      </c>
    </row>
    <row r="130" ht="19" customHeight="1">
      <c r="A130" s="27" t="n">
        <v>18</v>
      </c>
      <c r="B130" s="28" t="inlineStr">
        <is>
          <t>P26IM0004</t>
        </is>
      </c>
      <c r="C130" s="29" t="inlineStr">
        <is>
          <t>Saurabh Yadav</t>
        </is>
      </c>
      <c r="D130" s="27" t="inlineStr">
        <is>
          <t>PhD</t>
        </is>
      </c>
      <c r="E130" s="30" t="inlineStr">
        <is>
          <t>Ph.D. in Medical Technology</t>
        </is>
      </c>
      <c r="F130" s="27" t="n">
        <v>2026</v>
      </c>
      <c r="G130" s="27" t="n">
        <v>2031</v>
      </c>
      <c r="H130" s="31" t="inlineStr">
        <is>
          <t>Active</t>
        </is>
      </c>
      <c r="I130" s="30" t="inlineStr">
        <is>
          <t>Medical Technology</t>
        </is>
      </c>
      <c r="J130" s="30" t="inlineStr">
        <is>
          <t>Faculty Board (IDRP / AIIMS-IIT Joint)</t>
        </is>
      </c>
      <c r="K130" s="30" t="inlineStr">
        <is>
          <t>p26im0004@iitj.ac.in</t>
        </is>
      </c>
      <c r="L130" s="27" t="inlineStr">
        <is>
          <t>-</t>
        </is>
      </c>
      <c r="M130" s="27" t="n">
        <v>0</v>
      </c>
      <c r="N130" s="30" t="inlineStr">
        <is>
          <t>-</t>
        </is>
      </c>
      <c r="O130" s="27" t="n">
        <v>0</v>
      </c>
      <c r="P130" s="30" t="inlineStr">
        <is>
          <t>-</t>
        </is>
      </c>
      <c r="Q130" s="27" t="n">
        <v>0</v>
      </c>
      <c r="R130" s="30" t="inlineStr">
        <is>
          <t>-</t>
        </is>
      </c>
      <c r="S130" s="27" t="n">
        <v>0</v>
      </c>
      <c r="T130" s="30" t="inlineStr">
        <is>
          <t>-</t>
        </is>
      </c>
      <c r="U130" s="27" t="inlineStr">
        <is>
          <t>-</t>
        </is>
      </c>
      <c r="V130" s="27" t="inlineStr">
        <is>
          <t>-</t>
        </is>
      </c>
      <c r="W130" s="30" t="inlineStr">
        <is>
          <t>Centre for Medical Technologies (IDRP)</t>
        </is>
      </c>
      <c r="X130" s="30" t="inlineStr">
        <is>
          <t>IIT Jodhpur Permanent Campus, NH 62, Karwar</t>
        </is>
      </c>
      <c r="Y130" s="27" t="inlineStr">
        <is>
          <t>Jodhpur</t>
        </is>
      </c>
      <c r="Z130" s="27" t="inlineStr">
        <is>
          <t>Rajasthan</t>
        </is>
      </c>
      <c r="AA130" s="27" t="inlineStr">
        <is>
          <t>342030</t>
        </is>
      </c>
      <c r="AB130" s="30" t="inlineStr">
        <is>
          <t>Official Cohort Registry (IIT Jodhpur MedTech Portal)</t>
        </is>
      </c>
    </row>
  </sheetData>
  <mergeCells count="9">
    <mergeCell ref="A2:AB2"/>
    <mergeCell ref="A52:AB52"/>
    <mergeCell ref="A90:AB90"/>
    <mergeCell ref="A32:AB32"/>
    <mergeCell ref="A111:AB111"/>
    <mergeCell ref="A1:AB1"/>
    <mergeCell ref="A77:AB77"/>
    <mergeCell ref="A69:AB69"/>
    <mergeCell ref="A4:AB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0"/>
  <sheetViews>
    <sheetView showGridLines="1" workbookViewId="0">
      <pane xSplit="3" ySplit="4" topLeftCell="D5" activePane="bottomRight" state="frozen"/>
      <selection pane="topRight"/>
      <selection pane="bottomLeft"/>
      <selection pane="bottomRight" activeCell="A1" sqref="A1"/>
    </sheetView>
  </sheetViews>
  <sheetFormatPr baseColWidth="8" defaultRowHeight="15"/>
  <cols>
    <col width="8" customWidth="1" min="1" max="1"/>
    <col width="15" customWidth="1" min="2" max="2"/>
    <col width="25" customWidth="1" min="3" max="3"/>
    <col width="20" customWidth="1" min="4" max="4"/>
    <col width="44" customWidth="1" min="5" max="5"/>
    <col width="42" customWidth="1" min="6" max="6"/>
    <col width="44" customWidth="1" min="7" max="7"/>
    <col width="34" customWidth="1" min="8" max="8"/>
    <col width="38" customWidth="1" min="9" max="9"/>
  </cols>
  <sheetData>
    <row r="1" ht="32" customHeight="1">
      <c r="A1" s="1" t="inlineStr">
        <is>
          <t>CENTRE FOR MEDICAL TECHNOLOGIES (IDRP) | IIT JODHPUR &amp; AIIMS JODHPUR</t>
        </is>
      </c>
    </row>
    <row r="2" ht="18" customHeight="1">
      <c r="A2" s="2" t="inlineStr">
        <is>
          <t>Student-Led Innovation Directory: Patents, Incubated Startups, Research Publications &amp; National Awards</t>
        </is>
      </c>
    </row>
    <row r="4" ht="26" customHeight="1">
      <c r="A4" s="7" t="inlineStr">
        <is>
          <t>S.No.</t>
        </is>
      </c>
      <c r="B4" s="7" t="inlineStr">
        <is>
          <t>Roll Number</t>
        </is>
      </c>
      <c r="C4" s="7" t="inlineStr">
        <is>
          <t>Student Scholar Name</t>
        </is>
      </c>
      <c r="D4" s="7" t="inlineStr">
        <is>
          <t>Program &amp; Cohort</t>
        </is>
      </c>
      <c r="E4" s="7" t="inlineStr">
        <is>
          <t>Patents Filed / Granted</t>
        </is>
      </c>
      <c r="F4" s="7" t="inlineStr">
        <is>
          <t>Incubated Startup Ventures</t>
        </is>
      </c>
      <c r="G4" s="7" t="inlineStr">
        <is>
          <t>Scholarly Publications &amp; Venues</t>
        </is>
      </c>
      <c r="H4" s="7" t="inlineStr">
        <is>
          <t>Awards &amp; Recognitions</t>
        </is>
      </c>
      <c r="I4" s="7" t="inlineStr">
        <is>
          <t>Faculty Mentors &amp; Supervisors</t>
        </is>
      </c>
    </row>
    <row r="5" ht="24" customHeight="1">
      <c r="A5" s="21" t="n">
        <v>1</v>
      </c>
      <c r="B5" s="22" t="inlineStr">
        <is>
          <t>P21ID006</t>
        </is>
      </c>
      <c r="C5" s="23" t="inlineStr">
        <is>
          <t>Umme Abiha</t>
        </is>
      </c>
      <c r="D5" s="21" t="inlineStr">
        <is>
          <t>PhD (2021)</t>
        </is>
      </c>
      <c r="E5" s="35" t="inlineStr">
        <is>
          <t>App #202411028352: Monitoring Neonatal Bilirubin Levels (Published) | App 202411028352: Monitoring Neonatal Bilirubin Levels</t>
        </is>
      </c>
      <c r="F5" s="24" t="inlineStr">
        <is>
          <t>-</t>
        </is>
      </c>
      <c r="G5" s="24" t="inlineStr">
        <is>
          <t>5 Journals, 0 Conferences, 9 Books. Venues: Journals: Frontiers in Pediatrics,  Medical Engineering &amp; Physics,  Medicina.
Book Chapters: Elsevier., CRC Press,  Springer Nature,  Taylor &amp; Francis, Research Square, Authorea (First Author) | Paper: "Non-Invasive Optical Transcutaneous Bilirubin Estimation in Neonatal Intensive Care"</t>
        </is>
      </c>
      <c r="H5" s="24" t="inlineStr">
        <is>
          <t>Young Researcher Award ; Best Oral Presentation Award, Health Science</t>
        </is>
      </c>
      <c r="I5" s="24" t="inlineStr">
        <is>
          <t>Dr. Dip Sankar Banerjee (IIT Jodhpur) &amp; Dr. Saptarshi Mandal (AIIMS Jodhpur)</t>
        </is>
      </c>
    </row>
    <row r="6" ht="24" customHeight="1">
      <c r="A6" s="27" t="n">
        <v>2</v>
      </c>
      <c r="B6" s="28" t="inlineStr">
        <is>
          <t>P20SH004</t>
        </is>
      </c>
      <c r="C6" s="29" t="inlineStr">
        <is>
          <t>Ritesh Mishra</t>
        </is>
      </c>
      <c r="D6" s="27" t="inlineStr">
        <is>
          <t>PhD (2020)</t>
        </is>
      </c>
      <c r="E6" s="30" t="inlineStr">
        <is>
          <t>-</t>
        </is>
      </c>
      <c r="F6" s="30" t="inlineStr">
        <is>
          <t>-</t>
        </is>
      </c>
      <c r="G6" s="30" t="inlineStr">
        <is>
          <t>6 Journals, 1 Conferences, 1 Books. Venues: 1. Food Control 
2. RSC Sustainable Food Technology
3. Irrigation Science
4. Postharvest Biology and Technology
5. Reviews of Modern Plasma Physics
6. Radiation Effects and Defects in Solids (First Author)</t>
        </is>
      </c>
      <c r="H6" s="30" t="inlineStr">
        <is>
          <t>-</t>
        </is>
      </c>
      <c r="I6" s="30" t="inlineStr">
        <is>
          <t>Faculty Board (IDRP / School of Health)</t>
        </is>
      </c>
    </row>
    <row r="7" ht="24" customHeight="1">
      <c r="A7" s="21" t="n">
        <v>3</v>
      </c>
      <c r="B7" s="22" t="inlineStr">
        <is>
          <t>D20ID004</t>
        </is>
      </c>
      <c r="C7" s="23" t="inlineStr">
        <is>
          <t>Misaal Khan</t>
        </is>
      </c>
      <c r="D7" s="21" t="inlineStr">
        <is>
          <t>Dual Degree (2020)</t>
        </is>
      </c>
      <c r="E7" s="35" t="inlineStr">
        <is>
          <t>App #202511127461: System and Method for Assisting Malnutrition Assessment Using Graph Neural Networks (Published) | Apps 202411076128, 202511127461: AI Pediatric Nutritional Assessment System</t>
        </is>
      </c>
      <c r="F7" s="36" t="inlineStr">
        <is>
          <t>NutriAI HealthTech Solutions (Student Co-Founder &amp; CTO, Pre-Incubatee) | NutriAI HealthTech Solutions (Student Co-Founder &amp; CTO)</t>
        </is>
      </c>
      <c r="G7" s="24" t="inlineStr">
        <is>
          <t>1 Journals, 4 Conferences, 1 Books. Venues: 1 . Frontiers in Public Health 
2. IJCAI 2023
3. MICCAI 2024
4. AAAI 2026
5. WACV 2026
No book chapter (First Author) | Paper: "AI-Assisted Malnutrition and Pediatric Growth Deficit Assessment in Rural Cohorts: A Field-Validated Study" | Paper: "Deep Multi-View Graph Learning for Pediatric Anthropometry and Health Indices Prediction" | Paper: "Cross-Modality Contrastive Representation for 3D Pediatric Anthropometry from Single RGB-D Feeds" | Paper: "Generative Clinical Graph Networks for Undernutrition Surveillance in Low-Resource Primary Care" | Paper: "Self-Supervised Anatomical Landmark Estimation for Point-of-Care Child Stunting Diagnosis"</t>
        </is>
      </c>
      <c r="H7" s="24" t="inlineStr">
        <is>
          <t>Prime Minister's Research Fellowship (PMRF) 2022</t>
        </is>
      </c>
      <c r="I7" s="24" t="inlineStr">
        <is>
          <t>Prof. Richa Singh (IIT Jodhpur), Prof. Mayank Vatsa (IIT Jodhpur) &amp; Dr. Kuldeep Singh (AIIMS Jodhpur)</t>
        </is>
      </c>
    </row>
    <row r="8" ht="24" customHeight="1">
      <c r="A8" s="27" t="n">
        <v>4</v>
      </c>
      <c r="B8" s="28" t="inlineStr">
        <is>
          <t>D20ID008</t>
        </is>
      </c>
      <c r="C8" s="29" t="inlineStr">
        <is>
          <t>Sarmistha Mazumder</t>
        </is>
      </c>
      <c r="D8" s="27" t="inlineStr">
        <is>
          <t>Dual Degree (2020)</t>
        </is>
      </c>
      <c r="E8" s="35" t="inlineStr">
        <is>
          <t>App #202511113643: Near Infrared Light Activatable Biomimetic Drug Delivery System for Targeted Phototherapy (Filed) | App 202511113643: Near Infrared Light Activatable Biomimetic Phototherapy System</t>
        </is>
      </c>
      <c r="F8" s="30" t="inlineStr">
        <is>
          <t>-</t>
        </is>
      </c>
      <c r="G8" s="30" t="inlineStr">
        <is>
          <t>5 Journals, 0 Conferences, 2 Books. Venues: Frontiers in Chemistry, RSC advances, ACS ES&amp;T Water, Chemistry- An Asian Journal, ACS Applied Nanomaterials
Elsevier (Book chapters)  (First Author) | Paper: "Near-Infrared Light-Triggered Nanoplatform for Targeted Tumor Photothermal Ablation"</t>
        </is>
      </c>
      <c r="H8" s="30" t="inlineStr">
        <is>
          <t>-</t>
        </is>
      </c>
      <c r="I8" s="30" t="inlineStr">
        <is>
          <t>Dr. Raviraj Vankayala (IIT Jodhpur)</t>
        </is>
      </c>
    </row>
    <row r="9" ht="24" customHeight="1">
      <c r="A9" s="21" t="n">
        <v>5</v>
      </c>
      <c r="B9" s="22" t="inlineStr">
        <is>
          <t>P20ID004</t>
        </is>
      </c>
      <c r="C9" s="23" t="inlineStr">
        <is>
          <t>Gajendra Singh</t>
        </is>
      </c>
      <c r="D9" s="21" t="inlineStr">
        <is>
          <t>PhD (2020)</t>
        </is>
      </c>
      <c r="E9" s="35" t="inlineStr">
        <is>
          <t>App #202211077085: System and Method for Robot Assisted Echocardiography (Published) | App #202411058458: System for Multimodal Data Acquisition and Synchronization and Method Thereof (Published) | Apps 202211077085, 202411058458, 202511040403: Robot Assisted Echocardiography &amp; Multimodal Data Sync</t>
        </is>
      </c>
      <c r="F9" s="36" t="inlineStr">
        <is>
          <t>Visionence Tech Pvt. Ltd. (Co-Founder, Incubated) | Visionence Tech Pvt. Ltd. (Director &amp; Co-Founder)</t>
        </is>
      </c>
      <c r="G9" s="24" t="inlineStr">
        <is>
          <t>1 Journals, 2 Conferences, 0 Books. Venues: 1. IEEE Sensor Letters
2. ASMUS MICCAI 2025
3. IEEE SAUS 2024 (First Author) | Paper: "Deep Learning-Driven Multimodal Synchronization for Probe-Navigated Echocardiography" | Paper: "ASMUS: Real-Time Point-of-Care Ultrasound Guidance via Multitask Acoustic Transformer" | Paper: "Acoustic Signal Processing and Robot Teleoperation for Pediatric Cardiac Ultrasound"</t>
        </is>
      </c>
      <c r="H9" s="24" t="inlineStr">
        <is>
          <t>Patent granted</t>
        </is>
      </c>
      <c r="I9" s="24" t="inlineStr">
        <is>
          <t>Dr. Deepak Mishra (IIT Jodhpur) &amp; Dr. Pushpinder Khera (AIIMS Jodhpur)</t>
        </is>
      </c>
    </row>
    <row r="10" ht="24" customHeight="1">
      <c r="A10" s="27" t="n">
        <v>6</v>
      </c>
      <c r="B10" s="28" t="inlineStr">
        <is>
          <t>P20SH002</t>
        </is>
      </c>
      <c r="C10" s="29" t="inlineStr">
        <is>
          <t>Netra Kirankumar Hiremath</t>
        </is>
      </c>
      <c r="D10" s="27" t="inlineStr">
        <is>
          <t>PhD (2020)</t>
        </is>
      </c>
      <c r="E10" s="30" t="inlineStr">
        <is>
          <t>-</t>
        </is>
      </c>
      <c r="F10" s="30" t="inlineStr">
        <is>
          <t>-</t>
        </is>
      </c>
      <c r="G10" s="30" t="inlineStr">
        <is>
          <t>6 Journals, 0 Conferences, 0 Books. Venues: 1. ACS Applied Nano Materials (2 publications)
2. Biomaterials Science (2 publications)
3. Nanoscale
4. ChemMedChem (Co-Author)</t>
        </is>
      </c>
      <c r="H10" s="30" t="inlineStr">
        <is>
          <t>-</t>
        </is>
      </c>
      <c r="I10" s="30" t="inlineStr">
        <is>
          <t>Faculty Board (IDRP / School of Health)</t>
        </is>
      </c>
    </row>
    <row r="11" ht="24" customHeight="1">
      <c r="A11" s="21" t="n">
        <v>7</v>
      </c>
      <c r="B11" s="22" t="inlineStr">
        <is>
          <t>P20SH003</t>
        </is>
      </c>
      <c r="C11" s="23" t="inlineStr">
        <is>
          <t>Nikhil Vadera</t>
        </is>
      </c>
      <c r="D11" s="21" t="inlineStr">
        <is>
          <t>PhD (2020)</t>
        </is>
      </c>
      <c r="E11" s="24" t="inlineStr">
        <is>
          <t>-</t>
        </is>
      </c>
      <c r="F11" s="24" t="inlineStr">
        <is>
          <t>-</t>
        </is>
      </c>
      <c r="G11" s="24" t="inlineStr">
        <is>
          <t>3 Journals, 2 Conferences, 0 Books. Venues: 1. Microchemical Journal 
2. ACS Sensors Journal 
3. IEEE Sensors Letters Journal 
4. IEEE APSCON Conference 
5. IEEE Sensors Conference  (First Author)</t>
        </is>
      </c>
      <c r="H11" s="24" t="inlineStr">
        <is>
          <t>-</t>
        </is>
      </c>
      <c r="I11" s="24" t="inlineStr">
        <is>
          <t>Faculty Board (IDRP / School of Health)</t>
        </is>
      </c>
    </row>
    <row r="12" ht="24" customHeight="1">
      <c r="A12" s="27" t="n">
        <v>8</v>
      </c>
      <c r="B12" s="28" t="inlineStr">
        <is>
          <t>M24IM1005</t>
        </is>
      </c>
      <c r="C12" s="29" t="inlineStr">
        <is>
          <t>Ritika Jajoriya</t>
        </is>
      </c>
      <c r="D12" s="27" t="inlineStr">
        <is>
          <t>Masters (2024)</t>
        </is>
      </c>
      <c r="E12" s="30" t="inlineStr">
        <is>
          <t>-</t>
        </is>
      </c>
      <c r="F12" s="30" t="inlineStr">
        <is>
          <t>-</t>
        </is>
      </c>
      <c r="G12" s="30" t="inlineStr">
        <is>
          <t>1 Journals, 2 Conferences, 1 Books. Venues: 1.IEEE xplore (IEEE NANOMED Conference 2025) ; 1.IEEE xplore (IEEE NANOMED CONFERENCE 2025)  (Co-Author) | Paper: "Electrochemical Micro-Immuno Sensor for Ultra-Low Concentration Clinical Biomarker Quantification"</t>
        </is>
      </c>
      <c r="H12" s="30" t="inlineStr">
        <is>
          <t>-</t>
        </is>
      </c>
      <c r="I12" s="30" t="inlineStr">
        <is>
          <t>Dr. Ankur Gupta (IIT Jodhpur)</t>
        </is>
      </c>
    </row>
    <row r="13" ht="24" customHeight="1">
      <c r="A13" s="21" t="n">
        <v>9</v>
      </c>
      <c r="B13" s="22" t="inlineStr">
        <is>
          <t>IDRPSHC006</t>
        </is>
      </c>
      <c r="C13" s="23" t="inlineStr">
        <is>
          <t>Ramkamal samat</t>
        </is>
      </c>
      <c r="D13" s="21" t="inlineStr">
        <is>
          <t>PhD (2021)</t>
        </is>
      </c>
      <c r="E13" s="24" t="inlineStr">
        <is>
          <t>-</t>
        </is>
      </c>
      <c r="F13" s="24" t="inlineStr">
        <is>
          <t>-</t>
        </is>
      </c>
      <c r="G13" s="24" t="inlineStr">
        <is>
          <t>4 Journals, 0 Conferences, 0 Books. Venues: Acs infectious disease, Journal of Medicinal chemistry  (First Author)</t>
        </is>
      </c>
      <c r="H13" s="24" t="inlineStr">
        <is>
          <t>-</t>
        </is>
      </c>
      <c r="I13" s="24" t="inlineStr">
        <is>
          <t>Faculty Board (IDRP / School of Health)</t>
        </is>
      </c>
    </row>
    <row r="14" ht="24" customHeight="1">
      <c r="A14" s="27" t="n">
        <v>10</v>
      </c>
      <c r="B14" s="28" t="inlineStr">
        <is>
          <t>D21ID006</t>
        </is>
      </c>
      <c r="C14" s="29" t="inlineStr">
        <is>
          <t>Katyayanee Sharma</t>
        </is>
      </c>
      <c r="D14" s="27" t="inlineStr">
        <is>
          <t>Dual Degree (2021)</t>
        </is>
      </c>
      <c r="E14" s="35" t="inlineStr">
        <is>
          <t>App 202411033887: Device for Reshaping Cartilage</t>
        </is>
      </c>
      <c r="F14" s="30" t="inlineStr">
        <is>
          <t>-</t>
        </is>
      </c>
      <c r="G14" s="30" t="inlineStr">
        <is>
          <t>1 Journals, 1 Conferences, 1 Books. Venues: 1. Conference- MNDCS 2024 2. Chapter- Lecture Notes in Electrical Engineering, vol 1382. Springer  3. Chapter- IEEE Biosensors (under review) (First Author) | Paper: "Ultra-Low Power CMOS Transceiver for Implantable Bio-Telemetry Sensors"</t>
        </is>
      </c>
      <c r="H14" s="30" t="inlineStr">
        <is>
          <t>MSME Idea Hackathon 4.0 grants</t>
        </is>
      </c>
      <c r="I14" s="30" t="inlineStr">
        <is>
          <t>Prof. Ajay Agarwal (IIT Jodhpur)</t>
        </is>
      </c>
    </row>
    <row r="15" ht="24" customHeight="1">
      <c r="A15" s="21" t="n">
        <v>11</v>
      </c>
      <c r="B15" s="22" t="inlineStr">
        <is>
          <t>D20ID003</t>
        </is>
      </c>
      <c r="C15" s="23" t="inlineStr">
        <is>
          <t>Justy N Francis</t>
        </is>
      </c>
      <c r="D15" s="21" t="inlineStr">
        <is>
          <t>Dual Degree (2020)</t>
        </is>
      </c>
      <c r="E15" s="35" t="inlineStr">
        <is>
          <t>App #202511040294: An Osteogenic-Angiogenic Composition and Implementations Thereof (Filed) | App 202511040294: Osteogenic-Angiogenic Implant Composition</t>
        </is>
      </c>
      <c r="F15" s="24" t="inlineStr">
        <is>
          <t>-</t>
        </is>
      </c>
      <c r="G15" s="24" t="inlineStr">
        <is>
          <t>3 Journals, 0 Conferences, 0 Books. Venues: Polymer Composites, Materials Chemistry and Physics (First Author) | Paper: "Bioactive Polymeric Composites for Craniofacial Fracture Fixation and Guided Tissue Regeneration"</t>
        </is>
      </c>
      <c r="H15" s="24" t="inlineStr">
        <is>
          <t>-</t>
        </is>
      </c>
      <c r="I15" s="24" t="inlineStr">
        <is>
          <t>Dr. Jaiveer Singh (IIT Jodhpur) &amp; Dr. Ankita Chugh (AIIMS Jodhpur)</t>
        </is>
      </c>
    </row>
    <row r="16" ht="24" customHeight="1">
      <c r="A16" s="27" t="n">
        <v>12</v>
      </c>
      <c r="B16" s="28" t="inlineStr">
        <is>
          <t>P24IHC001</t>
        </is>
      </c>
      <c r="C16" s="29" t="inlineStr">
        <is>
          <t>Ananta Kapoor</t>
        </is>
      </c>
      <c r="D16" s="27" t="inlineStr">
        <is>
          <t>PhD (2024)</t>
        </is>
      </c>
      <c r="E16" s="30" t="inlineStr">
        <is>
          <t>-</t>
        </is>
      </c>
      <c r="F16" s="30" t="inlineStr">
        <is>
          <t>-</t>
        </is>
      </c>
      <c r="G16" s="30" t="inlineStr">
        <is>
          <t>0 Journals, 2 Conferences, 0 Books. Venues: EMBL Heidelberg AI and Biology poster presentation, FENS Denmark Brain Conference  (First Author)</t>
        </is>
      </c>
      <c r="H16" s="30" t="inlineStr">
        <is>
          <t>-</t>
        </is>
      </c>
      <c r="I16" s="30" t="inlineStr">
        <is>
          <t>Dr. Romi Banerjee (IIT Jodhpur) &amp; Prof. Surajit Ghosh (IIT Jodhpur)</t>
        </is>
      </c>
    </row>
    <row r="17" ht="24" customHeight="1">
      <c r="A17" s="21" t="n">
        <v>13</v>
      </c>
      <c r="B17" s="22" t="inlineStr">
        <is>
          <t>M21ID005</t>
        </is>
      </c>
      <c r="C17" s="23" t="inlineStr">
        <is>
          <t>Harisharan R</t>
        </is>
      </c>
      <c r="D17" s="21" t="inlineStr">
        <is>
          <t>Masters (2021)</t>
        </is>
      </c>
      <c r="E17" s="35" t="inlineStr">
        <is>
          <t>App 202411033887: Device for Reshaping Cartilage</t>
        </is>
      </c>
      <c r="F17" s="36" t="inlineStr">
        <is>
          <t>Caldor Health Technologies Pvt. Ltd. (Co-Founder)</t>
        </is>
      </c>
      <c r="G17" s="24" t="inlineStr">
        <is>
          <t>-</t>
        </is>
      </c>
      <c r="H17" s="24" t="inlineStr">
        <is>
          <t>US$100,000 raised for SWASAM</t>
        </is>
      </c>
      <c r="I17" s="24" t="inlineStr">
        <is>
          <t>Prof. Ajay Agarwal (IIT Jodhpur) &amp; Dr. Amit Goyal (AIIMS Jodhpur)</t>
        </is>
      </c>
    </row>
    <row r="18" ht="24" customHeight="1">
      <c r="A18" s="27" t="n">
        <v>14</v>
      </c>
      <c r="B18" s="28" t="inlineStr">
        <is>
          <t>M20ID001</t>
        </is>
      </c>
      <c r="C18" s="29" t="inlineStr">
        <is>
          <t>Anup Kamal Kakwani</t>
        </is>
      </c>
      <c r="D18" s="27" t="inlineStr">
        <is>
          <t>Masters (2020)</t>
        </is>
      </c>
      <c r="E18" s="35" t="inlineStr">
        <is>
          <t>App #202211041593: A Cost Effective and User Friendly System to Irrigate Root Canal Under Apical Negative Pressure (Published) | App 202211041593: Root Canal Irrigation System Under Apical Negative Pressure</t>
        </is>
      </c>
      <c r="F18" s="36" t="inlineStr">
        <is>
          <t>NxGen Healtech Pvt. Ltd. (Founder &amp; Managing Director, Pre-Incubatee) | NxGen Healtech Pvt. Ltd. (Founder)</t>
        </is>
      </c>
      <c r="G18" s="30" t="inlineStr">
        <is>
          <t>-</t>
        </is>
      </c>
      <c r="H18" s="30" t="inlineStr">
        <is>
          <t>-</t>
        </is>
      </c>
      <c r="I18" s="30" t="inlineStr">
        <is>
          <t>Dr. Pravin Kumar (AIIMS Jodhpur) &amp; Dr. Jaiveer Singh (IIT Jodhpur)</t>
        </is>
      </c>
    </row>
    <row r="19" ht="24" customHeight="1">
      <c r="A19" s="21" t="n">
        <v>15</v>
      </c>
      <c r="B19" s="22" t="inlineStr">
        <is>
          <t>P20ID002</t>
        </is>
      </c>
      <c r="C19" s="23" t="inlineStr">
        <is>
          <t>Kanika Singroha</t>
        </is>
      </c>
      <c r="D19" s="21" t="inlineStr">
        <is>
          <t>PhD (2020)</t>
        </is>
      </c>
      <c r="E19" s="35" t="inlineStr">
        <is>
          <t>App #202511037139: Quadruple High-Performance Modular Bioink for 3D Bioprinting (Filed) | Apps 202511037139, 202511037986: 3D Bioprinting Quadruple Modular Bioink &amp; Cell Suspensor</t>
        </is>
      </c>
      <c r="F19" s="36" t="inlineStr">
        <is>
          <t>Cellverse Pvt. Ltd. (Co-Founder, Incubated) | Cellverse Pvt. Ltd. (Director &amp; Co-Founder)</t>
        </is>
      </c>
      <c r="G19" s="24" t="inlineStr">
        <is>
          <t>-</t>
        </is>
      </c>
      <c r="H19" s="24" t="inlineStr">
        <is>
          <t>Recognition of Excellence in Young Alumni Award</t>
        </is>
      </c>
      <c r="I19" s="24" t="inlineStr">
        <is>
          <t>Dr. Indranil Banerjee (IIT Jodhpur) &amp; Dr. Shilpi Gupta Dixit (AIIMS Jodhpur)</t>
        </is>
      </c>
    </row>
    <row r="20" ht="24" customHeight="1">
      <c r="A20" s="27" t="n">
        <v>16</v>
      </c>
      <c r="B20" s="28" t="inlineStr">
        <is>
          <t>M23IM1003</t>
        </is>
      </c>
      <c r="C20" s="29" t="inlineStr">
        <is>
          <t>Ashwin C R</t>
        </is>
      </c>
      <c r="D20" s="27" t="inlineStr">
        <is>
          <t>Masters (2023)</t>
        </is>
      </c>
      <c r="E20" s="35" t="inlineStr">
        <is>
          <t>App #202511105376: A Multi-Functional Retracting Device for Intraoral Procedures and Method Thereof (Filed) | App 202511105376: Multi-Functional Retracting Device for Minimally Invasive Oral Surgery</t>
        </is>
      </c>
      <c r="F20" s="30" t="inlineStr">
        <is>
          <t>-</t>
        </is>
      </c>
      <c r="G20" s="30" t="inlineStr">
        <is>
          <t>-</t>
        </is>
      </c>
      <c r="H20" s="30" t="inlineStr">
        <is>
          <t>Silver Medal for Academic Excellence, Master's in Medical Technologies</t>
        </is>
      </c>
      <c r="I20" s="30" t="inlineStr">
        <is>
          <t>Dr. Bhivraj Suthar (IIT Jodhpur) &amp; Dr. Ankita Chugh (AIIMS Jodhpur)</t>
        </is>
      </c>
    </row>
    <row r="21" ht="24" customHeight="1">
      <c r="A21" s="21" t="n">
        <v>17</v>
      </c>
      <c r="B21" s="22" t="inlineStr">
        <is>
          <t>P23IHC003</t>
        </is>
      </c>
      <c r="C21" s="23" t="inlineStr">
        <is>
          <t>Ankita Das</t>
        </is>
      </c>
      <c r="D21" s="21" t="inlineStr">
        <is>
          <t>PhD (2023)</t>
        </is>
      </c>
      <c r="E21" s="24" t="inlineStr">
        <is>
          <t>-</t>
        </is>
      </c>
      <c r="F21" s="24" t="inlineStr">
        <is>
          <t>-</t>
        </is>
      </c>
      <c r="G21" s="24" t="inlineStr">
        <is>
          <t>0 Journals, 1 Conferences, 0 Books. Venues: Immunocon2024 (First Author)</t>
        </is>
      </c>
      <c r="H21" s="24" t="inlineStr">
        <is>
          <t>-</t>
        </is>
      </c>
      <c r="I21" s="24" t="inlineStr">
        <is>
          <t>Dr. Sushmita Jha (IIT Jodhpur) &amp; Dr. Bharti Sharma (AIIMS Jodhpur)</t>
        </is>
      </c>
    </row>
    <row r="22" ht="24" customHeight="1">
      <c r="A22" s="27" t="n">
        <v>18</v>
      </c>
      <c r="B22" s="28" t="inlineStr">
        <is>
          <t>D22ID003</t>
        </is>
      </c>
      <c r="C22" s="29" t="inlineStr">
        <is>
          <t>Abhijeet Rajak</t>
        </is>
      </c>
      <c r="D22" s="27" t="inlineStr">
        <is>
          <t>Dual Degree (2022)</t>
        </is>
      </c>
      <c r="E22" s="35" t="inlineStr">
        <is>
          <t>App 202511108503: Automated Multi-Channel Point-of-Care Diagnostics Device</t>
        </is>
      </c>
      <c r="F22" s="30" t="inlineStr">
        <is>
          <t>-</t>
        </is>
      </c>
      <c r="G22" s="30" t="inlineStr">
        <is>
          <t>-</t>
        </is>
      </c>
      <c r="H22" s="30" t="inlineStr">
        <is>
          <t>-</t>
        </is>
      </c>
      <c r="I22" s="30" t="inlineStr">
        <is>
          <t>Dr. Arpit Khandelwal (IIT Jodhpur)</t>
        </is>
      </c>
    </row>
    <row r="23" ht="24" customHeight="1">
      <c r="A23" s="21" t="n">
        <v>19</v>
      </c>
      <c r="B23" s="22" t="inlineStr">
        <is>
          <t>M21ID002</t>
        </is>
      </c>
      <c r="C23" s="23" t="inlineStr">
        <is>
          <t>Ajmal Jaleel</t>
        </is>
      </c>
      <c r="D23" s="21" t="inlineStr">
        <is>
          <t>Masters (2021)</t>
        </is>
      </c>
      <c r="E23" s="24" t="inlineStr">
        <is>
          <t>-</t>
        </is>
      </c>
      <c r="F23" s="36" t="inlineStr">
        <is>
          <t>ShilpinMed Technologies Pvt. Ltd. (Founder)</t>
        </is>
      </c>
      <c r="G23" s="24" t="inlineStr">
        <is>
          <t>-</t>
        </is>
      </c>
      <c r="H23" s="24" t="inlineStr">
        <is>
          <t>-</t>
        </is>
      </c>
      <c r="I23" s="24" t="inlineStr">
        <is>
          <t>Dr. Jayant Kumar Mohanta (IIT Jodhpur)</t>
        </is>
      </c>
    </row>
    <row r="24" ht="24" customHeight="1">
      <c r="A24" s="27" t="n">
        <v>20</v>
      </c>
      <c r="B24" s="28" t="inlineStr">
        <is>
          <t>M21ID003</t>
        </is>
      </c>
      <c r="C24" s="29" t="inlineStr">
        <is>
          <t>Divesh Kumar Awasthi</t>
        </is>
      </c>
      <c r="D24" s="27" t="inlineStr">
        <is>
          <t>Masters (2021)</t>
        </is>
      </c>
      <c r="E24" s="30" t="inlineStr">
        <is>
          <t>-</t>
        </is>
      </c>
      <c r="F24" s="36" t="inlineStr">
        <is>
          <t>Healyantra Medical Technologies Pvt. Ltd. (Co-Founder)</t>
        </is>
      </c>
      <c r="G24" s="30" t="inlineStr">
        <is>
          <t>-</t>
        </is>
      </c>
      <c r="H24" s="30" t="inlineStr">
        <is>
          <t>First patent ; TechEx Technology Transfer Hub funding</t>
        </is>
      </c>
      <c r="I24" s="30" t="inlineStr">
        <is>
          <t>Dr. Hardik Kothadia (IIT Jodhpur)</t>
        </is>
      </c>
    </row>
    <row r="25" ht="24" customHeight="1">
      <c r="A25" s="21" t="n">
        <v>21</v>
      </c>
      <c r="B25" s="22" t="inlineStr">
        <is>
          <t>M21ID007</t>
        </is>
      </c>
      <c r="C25" s="23" t="inlineStr">
        <is>
          <t>Varun Raman Khandelwal</t>
        </is>
      </c>
      <c r="D25" s="21" t="inlineStr">
        <is>
          <t>Masters (2021)</t>
        </is>
      </c>
      <c r="E25" s="24" t="inlineStr">
        <is>
          <t>-</t>
        </is>
      </c>
      <c r="F25" s="36" t="inlineStr">
        <is>
          <t>Healyantra Medical Technologies Pvt. Ltd. (Director &amp; Co-Founder)</t>
        </is>
      </c>
      <c r="G25" s="24" t="inlineStr">
        <is>
          <t>-</t>
        </is>
      </c>
      <c r="H25" s="24" t="inlineStr">
        <is>
          <t>First patent ; TechEx Technology Transfer Hub funding ; Winner of MEDHA 2022</t>
        </is>
      </c>
      <c r="I25" s="24" t="inlineStr">
        <is>
          <t>Dr. Hardik Kothadia (IIT Jodhpur)</t>
        </is>
      </c>
    </row>
    <row r="26" ht="24" customHeight="1">
      <c r="A26" s="27" t="n">
        <v>22</v>
      </c>
      <c r="B26" s="28" t="inlineStr">
        <is>
          <t>P21ID002</t>
        </is>
      </c>
      <c r="C26" s="29" t="inlineStr">
        <is>
          <t>Jayant Singhal</t>
        </is>
      </c>
      <c r="D26" s="27" t="inlineStr">
        <is>
          <t>PhD (2021)</t>
        </is>
      </c>
      <c r="E26" s="35" t="inlineStr">
        <is>
          <t>App 202411028352: Monitoring Neonatal Bilirubin Levels</t>
        </is>
      </c>
      <c r="F26" s="30" t="inlineStr">
        <is>
          <t>-</t>
        </is>
      </c>
      <c r="G26" s="30" t="inlineStr">
        <is>
          <t>-</t>
        </is>
      </c>
      <c r="H26" s="30" t="inlineStr">
        <is>
          <t>MSME Idea Hackathon 4.0 grants</t>
        </is>
      </c>
      <c r="I26" s="30" t="inlineStr">
        <is>
          <t>Prof. Ajay Agarwal (IIT Jodhpur) &amp; Dr. Sushmita Jha (IIT Jodhpur)</t>
        </is>
      </c>
    </row>
    <row r="27" ht="24" customHeight="1">
      <c r="A27" s="21" t="n">
        <v>23</v>
      </c>
      <c r="B27" s="22" t="inlineStr">
        <is>
          <t>P21ID005</t>
        </is>
      </c>
      <c r="C27" s="23" t="inlineStr">
        <is>
          <t>Shivangi Madhavi Harsha</t>
        </is>
      </c>
      <c r="D27" s="21" t="inlineStr">
        <is>
          <t>PhD (2021)</t>
        </is>
      </c>
      <c r="E27" s="24" t="inlineStr">
        <is>
          <t>-</t>
        </is>
      </c>
      <c r="F27" s="24" t="inlineStr">
        <is>
          <t>-</t>
        </is>
      </c>
      <c r="G27" s="24" t="inlineStr">
        <is>
          <t>0 Journals, 1 Conferences, 0 Books. Venues: Conference - "Fashion-Textiles-Wearables 2026" organized by iLettersiCongress, British Textile Machinery Association and The Textile Institute, Manchester, UK.
Concluded on 15th April 2026, abstract was selected for oral presentation. Papers will be called after this.  (First Author)</t>
        </is>
      </c>
      <c r="H27" s="24" t="inlineStr">
        <is>
          <t>DAAD Research in Germany — Biotechnology &amp; Biomedical Innovation Research Tour 2026 ; Satyarthi Fellowship 2026</t>
        </is>
      </c>
      <c r="I27" s="24" t="inlineStr">
        <is>
          <t>Prof. Ajay Agarwal (IIT Jodhpur)</t>
        </is>
      </c>
    </row>
    <row r="28" ht="24" customHeight="1">
      <c r="A28" s="27" t="n">
        <v>24</v>
      </c>
      <c r="B28" s="28" t="inlineStr">
        <is>
          <t>M20ID008</t>
        </is>
      </c>
      <c r="C28" s="29" t="inlineStr">
        <is>
          <t>Thilak Chakaravarthi E</t>
        </is>
      </c>
      <c r="D28" s="27" t="inlineStr">
        <is>
          <t>Masters (2020)</t>
        </is>
      </c>
      <c r="E28" s="30" t="inlineStr">
        <is>
          <t>-</t>
        </is>
      </c>
      <c r="F28" s="36" t="inlineStr">
        <is>
          <t>Caldor Health Technologies Pvt. Ltd. (Co-Founder)</t>
        </is>
      </c>
      <c r="G28" s="30" t="inlineStr">
        <is>
          <t>-</t>
        </is>
      </c>
      <c r="H28" s="30" t="inlineStr">
        <is>
          <t>US$100,000 raised for SWASAM ; MSME grant</t>
        </is>
      </c>
      <c r="I28" s="30" t="inlineStr">
        <is>
          <t>Prof. Ajay Agarwal (IIT Jodhpur)</t>
        </is>
      </c>
    </row>
    <row r="29" ht="24" customHeight="1">
      <c r="A29" s="21" t="n">
        <v>25</v>
      </c>
      <c r="B29" s="22" t="inlineStr">
        <is>
          <t>P20ID005</t>
        </is>
      </c>
      <c r="C29" s="23" t="inlineStr">
        <is>
          <t>Mitanshu Sharma</t>
        </is>
      </c>
      <c r="D29" s="21" t="inlineStr">
        <is>
          <t>PhD (2020)</t>
        </is>
      </c>
      <c r="E29" s="35" t="inlineStr">
        <is>
          <t>App #202211060577: Pressure Ulcers or Bed Sores Preventing Air Bubble Based Mattress (Published) | App 202211060577: Pressure Ulcers / Bed Sores Preventing Air Bubble Mattress</t>
        </is>
      </c>
      <c r="F29" s="24" t="inlineStr">
        <is>
          <t>-</t>
        </is>
      </c>
      <c r="G29" s="24" t="inlineStr">
        <is>
          <t>-</t>
        </is>
      </c>
      <c r="H29" s="24" t="inlineStr">
        <is>
          <t>-</t>
        </is>
      </c>
      <c r="I29" s="24" t="inlineStr">
        <is>
          <t>Dr. Shobhana Singh (IIT Jodhpur) &amp; Dr. Nikhil Kothari (AIIMS Jodhpur)</t>
        </is>
      </c>
    </row>
    <row r="30" ht="24" customHeight="1">
      <c r="A30" s="27" t="n">
        <v>26</v>
      </c>
      <c r="B30" s="28" t="inlineStr">
        <is>
          <t>P20ID006</t>
        </is>
      </c>
      <c r="C30" s="29" t="inlineStr">
        <is>
          <t>Monika Sharma</t>
        </is>
      </c>
      <c r="D30" s="27" t="inlineStr">
        <is>
          <t>PhD (2020)</t>
        </is>
      </c>
      <c r="E30" s="35" t="inlineStr">
        <is>
          <t>App 202511106532: Force-Sensor-Based Tapping Device for Neuromuscular Assessment</t>
        </is>
      </c>
      <c r="F30" s="30" t="inlineStr">
        <is>
          <t>-</t>
        </is>
      </c>
      <c r="G30" s="30" t="inlineStr">
        <is>
          <t>-</t>
        </is>
      </c>
      <c r="H30" s="30" t="inlineStr">
        <is>
          <t>IBRO Exchange Fellowship 2026</t>
        </is>
      </c>
      <c r="I30" s="30" t="inlineStr">
        <is>
          <t>Dr. Pankaj Yadav (IIT Jodhpur)</t>
        </is>
      </c>
    </row>
    <row r="31" ht="24" customHeight="1">
      <c r="A31" s="21" t="n">
        <v>27</v>
      </c>
      <c r="B31" s="22" t="inlineStr">
        <is>
          <t>D20ID001</t>
        </is>
      </c>
      <c r="C31" s="23" t="inlineStr">
        <is>
          <t>Ramkishore Jangid</t>
        </is>
      </c>
      <c r="D31" s="21" t="inlineStr">
        <is>
          <t>Dual Degree (2020)</t>
        </is>
      </c>
      <c r="E31" s="24" t="inlineStr">
        <is>
          <t>-</t>
        </is>
      </c>
      <c r="F31" s="36" t="inlineStr">
        <is>
          <t>Medvocare Pvt. Ltd. (Director &amp; Co-Founder)</t>
        </is>
      </c>
      <c r="G31" s="24" t="inlineStr">
        <is>
          <t>-</t>
        </is>
      </c>
      <c r="H31" s="24" t="inlineStr">
        <is>
          <t>-</t>
        </is>
      </c>
      <c r="I31" s="24" t="inlineStr">
        <is>
          <t>Dr. Shobhana Singh (IIT Jodhpur)</t>
        </is>
      </c>
    </row>
    <row r="32" ht="24" customHeight="1">
      <c r="A32" s="27" t="n">
        <v>28</v>
      </c>
      <c r="B32" s="28" t="inlineStr">
        <is>
          <t>D20ID005</t>
        </is>
      </c>
      <c r="C32" s="29" t="inlineStr">
        <is>
          <t>Neha Nagarkoti</t>
        </is>
      </c>
      <c r="D32" s="27" t="inlineStr">
        <is>
          <t>Dual Degree (2020)</t>
        </is>
      </c>
      <c r="E32" s="35" t="inlineStr">
        <is>
          <t>App 202511107337: Neonatal Thermal Regulation System &amp; Transport Incubator</t>
        </is>
      </c>
      <c r="F32" s="30" t="inlineStr">
        <is>
          <t>-</t>
        </is>
      </c>
      <c r="G32" s="30" t="inlineStr">
        <is>
          <t>-</t>
        </is>
      </c>
      <c r="H32" s="30" t="inlineStr">
        <is>
          <t>ANRF Maha MedTech Mission grant ; BIRAC BIG grant</t>
        </is>
      </c>
      <c r="I32" s="30" t="inlineStr">
        <is>
          <t>Dr. Kaushal A. Desai (IIT Jodhpur) &amp; Dr. Neeraj Gupta (AIIMS Jodhpur)</t>
        </is>
      </c>
    </row>
    <row r="33" ht="24" customHeight="1">
      <c r="A33" s="21" t="n">
        <v>29</v>
      </c>
      <c r="B33" s="22" t="inlineStr">
        <is>
          <t>D20ID006</t>
        </is>
      </c>
      <c r="C33" s="23" t="inlineStr">
        <is>
          <t>Saloni Singhal</t>
        </is>
      </c>
      <c r="D33" s="21" t="inlineStr">
        <is>
          <t>Dual Degree (2020)</t>
        </is>
      </c>
      <c r="E33" s="35" t="inlineStr">
        <is>
          <t>App #202511116826: A Paper-Based Analytical Device (PAD) for Blood Typing and Method Thereof (Filed) | Apps 202511041154 (Granted), 202511046430 (Granted), 202511064909 (Granted), 202511072465, 202511116826: Paper-Based Biosensors &amp; Hematocrit Diagnostic Devices</t>
        </is>
      </c>
      <c r="F33" s="24" t="inlineStr">
        <is>
          <t>-</t>
        </is>
      </c>
      <c r="G33" s="24" t="inlineStr">
        <is>
          <t>-</t>
        </is>
      </c>
      <c r="H33" s="24" t="inlineStr">
        <is>
          <t>Indian patent granted</t>
        </is>
      </c>
      <c r="I33" s="24" t="inlineStr">
        <is>
          <t>Dr. Ankur Gupta (IIT Jodhpur) &amp; Dr. Saptarshi Mandal (AIIMS Jodhpur)</t>
        </is>
      </c>
    </row>
    <row r="34" ht="24" customHeight="1">
      <c r="A34" s="27" t="n">
        <v>30</v>
      </c>
      <c r="B34" s="28" t="inlineStr">
        <is>
          <t>D20ID007</t>
        </is>
      </c>
      <c r="C34" s="29" t="inlineStr">
        <is>
          <t>Sambit Kumar Keshi</t>
        </is>
      </c>
      <c r="D34" s="27" t="inlineStr">
        <is>
          <t>Dual Degree (2020)</t>
        </is>
      </c>
      <c r="E34" s="30" t="inlineStr">
        <is>
          <t>-</t>
        </is>
      </c>
      <c r="F34" s="36" t="inlineStr">
        <is>
          <t>Sarbit Innovations Pvt. Ltd. (Director &amp; Co-Founder)</t>
        </is>
      </c>
      <c r="G34" s="30" t="inlineStr">
        <is>
          <t>-</t>
        </is>
      </c>
      <c r="H34" s="30" t="inlineStr">
        <is>
          <t>Arohan 5.0 seed support scheme ; MSME Idea Hackathon 4.0 grants</t>
        </is>
      </c>
      <c r="I34" s="30" t="inlineStr">
        <is>
          <t>Prof. Ajay Agarwal (IIT Jodhpur)</t>
        </is>
      </c>
    </row>
    <row r="35" ht="24" customHeight="1">
      <c r="A35" s="21" t="n">
        <v>31</v>
      </c>
      <c r="B35" s="22" t="inlineStr">
        <is>
          <t>M26IM10011</t>
        </is>
      </c>
      <c r="C35" s="23" t="inlineStr">
        <is>
          <t>Paras J Keyravan</t>
        </is>
      </c>
      <c r="D35" s="21" t="inlineStr">
        <is>
          <t>Masters (2026)</t>
        </is>
      </c>
      <c r="E35" s="24" t="inlineStr">
        <is>
          <t>-</t>
        </is>
      </c>
      <c r="F35" s="24" t="inlineStr">
        <is>
          <t>-</t>
        </is>
      </c>
      <c r="G35" s="24" t="inlineStr">
        <is>
          <t>-</t>
        </is>
      </c>
      <c r="H35" s="24" t="inlineStr">
        <is>
          <t>1st position, iStart Rajasthan pitch</t>
        </is>
      </c>
      <c r="I35" s="24" t="inlineStr">
        <is>
          <t>Faculty Board (IDRP / AIIMS-IIT Joint)</t>
        </is>
      </c>
    </row>
    <row r="36" ht="24" customHeight="1">
      <c r="A36" s="27" t="n">
        <v>32</v>
      </c>
      <c r="B36" s="28" t="inlineStr">
        <is>
          <t>M25IM1008</t>
        </is>
      </c>
      <c r="C36" s="29" t="inlineStr">
        <is>
          <t>Rahul Parmar</t>
        </is>
      </c>
      <c r="D36" s="27" t="inlineStr">
        <is>
          <t>Masters (2025)</t>
        </is>
      </c>
      <c r="E36" s="30" t="inlineStr">
        <is>
          <t>-</t>
        </is>
      </c>
      <c r="F36" s="30" t="inlineStr">
        <is>
          <t>-</t>
        </is>
      </c>
      <c r="G36" s="30" t="inlineStr">
        <is>
          <t>-</t>
        </is>
      </c>
      <c r="H36" s="30" t="inlineStr">
        <is>
          <t>1st position, iStart Rajasthan pitch</t>
        </is>
      </c>
      <c r="I36" s="30" t="inlineStr">
        <is>
          <t>Faculty Board (IDRP / AIIMS-IIT Joint)</t>
        </is>
      </c>
    </row>
    <row r="37" ht="24" customHeight="1">
      <c r="A37" s="21" t="n">
        <v>33</v>
      </c>
      <c r="B37" s="22" t="inlineStr">
        <is>
          <t>M24IM1003</t>
        </is>
      </c>
      <c r="C37" s="23" t="inlineStr">
        <is>
          <t>Pranav Kumar Tak</t>
        </is>
      </c>
      <c r="D37" s="21" t="inlineStr">
        <is>
          <t>Masters (2024)</t>
        </is>
      </c>
      <c r="E37" s="24" t="inlineStr">
        <is>
          <t>-</t>
        </is>
      </c>
      <c r="F37" s="24" t="inlineStr">
        <is>
          <t>-</t>
        </is>
      </c>
      <c r="G37" s="24" t="inlineStr">
        <is>
          <t>-</t>
        </is>
      </c>
      <c r="H37" s="24" t="inlineStr">
        <is>
          <t>Genpact Master Student Fellowship</t>
        </is>
      </c>
      <c r="I37" s="24" t="inlineStr">
        <is>
          <t>Faculty Board (IDRP / AIIMS-IIT Joint)</t>
        </is>
      </c>
    </row>
    <row r="38" ht="24" customHeight="1">
      <c r="A38" s="27" t="n">
        <v>34</v>
      </c>
      <c r="B38" s="28" t="inlineStr">
        <is>
          <t>M22ID003</t>
        </is>
      </c>
      <c r="C38" s="29" t="inlineStr">
        <is>
          <t>Debasish Panda</t>
        </is>
      </c>
      <c r="D38" s="27" t="inlineStr">
        <is>
          <t>Masters (2022)</t>
        </is>
      </c>
      <c r="E38" s="30" t="inlineStr">
        <is>
          <t>-</t>
        </is>
      </c>
      <c r="F38" s="30" t="inlineStr">
        <is>
          <t>-</t>
        </is>
      </c>
      <c r="G38" s="30" t="inlineStr">
        <is>
          <t>-</t>
        </is>
      </c>
      <c r="H38" s="30" t="inlineStr">
        <is>
          <t>Silver Medal ; Indian patent: non-invasive glucometer</t>
        </is>
      </c>
      <c r="I38" s="30" t="inlineStr">
        <is>
          <t>Faculty Board (IDRP / AIIMS-IIT Joint)</t>
        </is>
      </c>
    </row>
    <row r="39" ht="24" customHeight="1">
      <c r="A39" s="21" t="n">
        <v>35</v>
      </c>
      <c r="B39" s="22" t="inlineStr">
        <is>
          <t>M22ID004</t>
        </is>
      </c>
      <c r="C39" s="23" t="inlineStr">
        <is>
          <t>Tanvi Chawla</t>
        </is>
      </c>
      <c r="D39" s="21" t="inlineStr">
        <is>
          <t>Masters (2022)</t>
        </is>
      </c>
      <c r="E39" s="24" t="inlineStr">
        <is>
          <t>-</t>
        </is>
      </c>
      <c r="F39" s="24" t="inlineStr">
        <is>
          <t>-</t>
        </is>
      </c>
      <c r="G39" s="24" t="inlineStr">
        <is>
          <t>-</t>
        </is>
      </c>
      <c r="H39" s="24" t="inlineStr">
        <is>
          <t>Most Promising Doctor in Dental Award</t>
        </is>
      </c>
      <c r="I39" s="24" t="inlineStr">
        <is>
          <t>Faculty Board (IDRP / AIIMS-IIT Joint)</t>
        </is>
      </c>
    </row>
    <row r="40" ht="24" customHeight="1">
      <c r="A40" s="27" t="n">
        <v>36</v>
      </c>
      <c r="B40" s="28" t="inlineStr">
        <is>
          <t>D21ID005</t>
        </is>
      </c>
      <c r="C40" s="29" t="inlineStr">
        <is>
          <t>Sayak Sarkar</t>
        </is>
      </c>
      <c r="D40" s="27" t="inlineStr">
        <is>
          <t>Dual Degree (2021)</t>
        </is>
      </c>
      <c r="E40" s="30" t="inlineStr">
        <is>
          <t>-</t>
        </is>
      </c>
      <c r="F40" s="30" t="inlineStr">
        <is>
          <t>-</t>
        </is>
      </c>
      <c r="G40" s="30" t="inlineStr">
        <is>
          <t>-</t>
        </is>
      </c>
      <c r="H40" s="30" t="inlineStr">
        <is>
          <t>First patent ; TechEx Technology Transfer Hub funding</t>
        </is>
      </c>
      <c r="I40" s="30" t="inlineStr">
        <is>
          <t>Faculty Board (IDRP / AIIMS-IIT Joint)</t>
        </is>
      </c>
    </row>
  </sheetData>
  <autoFilter ref="A4:I40"/>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2026-10-13T07:07:56Z</dcterms:created>
  <dcterms:modified xmlns:dcterms="http://purl.org/dc/terms/" xmlns:xsi="http://www.w3.org/2001/XMLSchema-instance" xsi:type="dcterms:W3CDTF">2026-10-13T07:07:57Z</dcterms:modified>
</cp:coreProperties>
</file>