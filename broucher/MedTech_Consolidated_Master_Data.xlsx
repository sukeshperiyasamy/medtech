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kes\Downloads\broucher\"/>
    </mc:Choice>
  </mc:AlternateContent>
  <xr:revisionPtr revIDLastSave="0" documentId="11_CBEFA70680098FB96A7EFEFE7CDB371E82B13453" xr6:coauthVersionLast="47" xr6:coauthVersionMax="47" xr10:uidLastSave="{00000000-0000-0000-0000-000000000000}"/>
  <bookViews>
    <workbookView xWindow="2263" yWindow="2263" windowWidth="16457" windowHeight="9454" xr2:uid="{00000000-000D-0000-FFFF-FFFF00000000}"/>
  </bookViews>
  <sheets>
    <sheet name="Executive Summary" sheetId="1" r:id="rId1"/>
    <sheet name="All Data Master" sheetId="2" r:id="rId2"/>
    <sheet name="Patents &amp; IPR" sheetId="3" r:id="rId3"/>
    <sheet name="Student Publications" sheetId="4" r:id="rId4"/>
    <sheet name="Startups &amp; Incubation" sheetId="5" r:id="rId5"/>
    <sheet name="People &amp; Directo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6" l="1"/>
  <c r="G32" i="6"/>
  <c r="E32" i="6"/>
  <c r="B32" i="6"/>
  <c r="C16" i="5"/>
  <c r="B16" i="5"/>
  <c r="G25" i="4"/>
  <c r="F25" i="4"/>
  <c r="E25" i="4"/>
  <c r="H24" i="4"/>
  <c r="G24" i="4"/>
  <c r="F24" i="4"/>
  <c r="E24" i="4"/>
  <c r="G23" i="4"/>
  <c r="F23" i="4"/>
  <c r="E23" i="4"/>
  <c r="B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25" i="4" s="1"/>
  <c r="L34" i="3"/>
  <c r="B34" i="3"/>
  <c r="D16" i="1"/>
  <c r="D15" i="1"/>
  <c r="E15" i="1" s="1"/>
  <c r="D14" i="1"/>
  <c r="E14" i="1" s="1"/>
  <c r="D13" i="1"/>
  <c r="E13" i="1" s="1"/>
  <c r="D12" i="1"/>
  <c r="I11" i="1"/>
  <c r="D11" i="1"/>
  <c r="I10" i="1"/>
  <c r="I17" i="1" s="1"/>
  <c r="D10" i="1"/>
  <c r="D17" i="1" s="1"/>
  <c r="J5" i="1"/>
  <c r="H5" i="1"/>
  <c r="F5" i="1"/>
  <c r="D5" i="1"/>
  <c r="B5" i="1"/>
  <c r="E16" i="1" l="1"/>
  <c r="E11" i="1"/>
  <c r="E12" i="1"/>
  <c r="E10" i="1"/>
  <c r="E17" i="1" s="1"/>
  <c r="H23" i="4"/>
</calcChain>
</file>

<file path=xl/sharedStrings.xml><?xml version="1.0" encoding="utf-8"?>
<sst xmlns="http://schemas.openxmlformats.org/spreadsheetml/2006/main" count="1569" uniqueCount="860">
  <si>
    <t>CENTRE FOR MEDICAL TECHNOLOGIES (IDRP) | IIT JODHPUR &amp; AIIMS JODHPUR</t>
  </si>
  <si>
    <t>Institutional Portfolio Master Dashboard: Patents, Publications, Startups &amp; Innovation Ecosystem</t>
  </si>
  <si>
    <t>TOTAL PATENTS FILED</t>
  </si>
  <si>
    <t>GRANTED PATENTS</t>
  </si>
  <si>
    <t>STARTUP VENTURES</t>
  </si>
  <si>
    <t>SCHOLARLY PAPERS</t>
  </si>
  <si>
    <t>ACTIVE INVENTORS</t>
  </si>
  <si>
    <t>28 Total Filings (27 Unique Inventions)</t>
  </si>
  <si>
    <t>4 Unique Patents Granted (15% Success Rate)</t>
  </si>
  <si>
    <t>10 Incubation Companies (7 Inc, 3 Pre)</t>
  </si>
  <si>
    <t>64 Net Verified Papers (16 Scholars)</t>
  </si>
  <si>
    <t>Multidisciplinary IITJ &amp; AIIMS Leaders</t>
  </si>
  <si>
    <t>1. PATENT PORTFOLIO BREAKDOWN BY STATUS</t>
  </si>
  <si>
    <t>2. STARTUPS &amp; SCHOLARLY OUTPUT METRICS</t>
  </si>
  <si>
    <t>Status Category</t>
  </si>
  <si>
    <t>Patent Office Stage</t>
  </si>
  <si>
    <t>Count</t>
  </si>
  <si>
    <t>% Share</t>
  </si>
  <si>
    <t>Category / Indicator</t>
  </si>
  <si>
    <t>Metric Description</t>
  </si>
  <si>
    <t>Volume</t>
  </si>
  <si>
    <t>Target / Baseline</t>
  </si>
  <si>
    <t>Status Tag</t>
  </si>
  <si>
    <t>Granted (Unique Patents)</t>
  </si>
  <si>
    <t>Final Indian Patent Granted</t>
  </si>
  <si>
    <t>Incubated Companies</t>
  </si>
  <si>
    <t>Full Formal Incubation Agreement</t>
  </si>
  <si>
    <t>70.0%</t>
  </si>
  <si>
    <t>Active Stage</t>
  </si>
  <si>
    <t>Under Examination (FER)</t>
  </si>
  <si>
    <t>First Examination Report Issued</t>
  </si>
  <si>
    <t>Pre-Incubatee Ventures</t>
  </si>
  <si>
    <t>Early Stage Prototyping / Evaluation</t>
  </si>
  <si>
    <t>30.0%</t>
  </si>
  <si>
    <t>Pipeline</t>
  </si>
  <si>
    <t>Under Amended Examination</t>
  </si>
  <si>
    <t>Response Filed / In Amended Examination</t>
  </si>
  <si>
    <t>Faculty-Led / Mentored</t>
  </si>
  <si>
    <t>Ventures with IITJ/AIIMS Directors &amp; Mentors</t>
  </si>
  <si>
    <t>9</t>
  </si>
  <si>
    <t>90.0%</t>
  </si>
  <si>
    <t>Institutional</t>
  </si>
  <si>
    <t>Awaiting First Action (CS)</t>
  </si>
  <si>
    <t>Commercialization / Search in Progress</t>
  </si>
  <si>
    <t>Peer-Reviewed Journals</t>
  </si>
  <si>
    <t>Verified Scholar Journal Articles</t>
  </si>
  <si>
    <t>35</t>
  </si>
  <si>
    <t>35 Papers</t>
  </si>
  <si>
    <t>High Impact</t>
  </si>
  <si>
    <t>Published / Awaiting FER</t>
  </si>
  <si>
    <t>Officially Published in Patent Journal</t>
  </si>
  <si>
    <t>Conference Proceedings</t>
  </si>
  <si>
    <t>International &amp; National Conferences</t>
  </si>
  <si>
    <t>15</t>
  </si>
  <si>
    <t>15 Papers</t>
  </si>
  <si>
    <t>Global Venues</t>
  </si>
  <si>
    <t>Provisional / Design Filed</t>
  </si>
  <si>
    <t>Provisional / Class 24-01 Design / Filed</t>
  </si>
  <si>
    <t>Scholarly Book Chapters</t>
  </si>
  <si>
    <t>Springer, Elsevier, CRC Press, Taylor &amp; Francis</t>
  </si>
  <si>
    <t>14</t>
  </si>
  <si>
    <t>14 Chapters</t>
  </si>
  <si>
    <t>Curated Reference</t>
  </si>
  <si>
    <t>Duplicate Entry Update</t>
  </si>
  <si>
    <t>Resolved / Updated Entry (S.No 12 &amp; 27)</t>
  </si>
  <si>
    <t>Total Scholarly Output</t>
  </si>
  <si>
    <t>Net Verified Publications (16 Scholars)</t>
  </si>
  <si>
    <t>64</t>
  </si>
  <si>
    <t>64 Total</t>
  </si>
  <si>
    <t>Validated Output</t>
  </si>
  <si>
    <t>Total Patent Filings</t>
  </si>
  <si>
    <t>Complete &amp; Design Applications</t>
  </si>
  <si>
    <t>Total Ecosystem Output</t>
  </si>
  <si>
    <t>Consolidated Innovations, Ventures &amp; Publications</t>
  </si>
  <si>
    <t>74+ Total</t>
  </si>
  <si>
    <t>Validated</t>
  </si>
  <si>
    <t>3. WORKBOOK STRUCTURE &amp; SHEET DIRECTORY FOR BROCHURE / REPORTING</t>
  </si>
  <si>
    <t>Sheet Name</t>
  </si>
  <si>
    <t>Scope &amp; Contents</t>
  </si>
  <si>
    <t>Record Volume</t>
  </si>
  <si>
    <t>Key Applications / Use Cases</t>
  </si>
  <si>
    <t>All Data Master</t>
  </si>
  <si>
    <t>Comprehensive unified flat sheet containing all 55 records (Patents, Publications, Startups) with harmonized schema</t>
  </si>
  <si>
    <t>55 Rows</t>
  </si>
  <si>
    <t>One-stop filtering, pivot tables, database import, brochure data-merge</t>
  </si>
  <si>
    <t>Patents &amp; IPR</t>
  </si>
  <si>
    <t>Cleaned, standardized patent filings with filing/pub/grant dates, tech domains, inventors, and startup links</t>
  </si>
  <si>
    <t>28 Rows (27 Unique)</t>
  </si>
  <si>
    <t>Institutional IPR tracking, NIRF / NAAC reports, patent wall in brochure</t>
  </si>
  <si>
    <t>Student Publications</t>
  </si>
  <si>
    <t>Student research outputs with journal/conference breakdown, calculated paper totals, and publisher venues</t>
  </si>
  <si>
    <t>17 Rows (16 Students)</t>
  </si>
  <si>
    <t>Student achievements brochure page, academic audit, research highlights</t>
  </si>
  <si>
    <t>Startups &amp; Incubation</t>
  </si>
  <si>
    <t>Incubated and pre-incubatee MedTech enterprises, founders, technology descriptions, faculty mentors, and agreement dates</t>
  </si>
  <si>
    <t>10 Startups</t>
  </si>
  <si>
    <t>Entrepreneurship spotlight, incubation portfolio showcase, investor deck</t>
  </si>
  <si>
    <t>People &amp; Directory</t>
  </si>
  <si>
    <t>Cross-cutting matrix linking faculty members, research scholars, and founders across all their patents, ventures, and papers</t>
  </si>
  <si>
    <t>26 Key Researchers</t>
  </si>
  <si>
    <t>Faculty profile highlights, student alumni spotlight, research group mapping</t>
  </si>
  <si>
    <t>CENTRE FOR MEDICAL TECHNOLOGIES (IDRP) - CONSOLIDATED MASTER DATASET</t>
  </si>
  <si>
    <t>Unified Cross-Functional Register: Patents, Student Publications &amp; Incubation Ventures (Single Unified Table)</t>
  </si>
  <si>
    <t>Master ID</t>
  </si>
  <si>
    <t>Category</t>
  </si>
  <si>
    <t>Sub-Category</t>
  </si>
  <si>
    <t>Title / Venture / Portfolio Name</t>
  </si>
  <si>
    <t>Technology / Innovation / Venue Details</t>
  </si>
  <si>
    <t>Lead Innovator / Student / Founder</t>
  </si>
  <si>
    <t>Faculty Mentors / Investigators</t>
  </si>
  <si>
    <t>Department / Institutions</t>
  </si>
  <si>
    <t>Official Ref / ID</t>
  </si>
  <si>
    <t>Record Date</t>
  </si>
  <si>
    <t>Current Status / Stage</t>
  </si>
  <si>
    <t>Output Metric / Detail</t>
  </si>
  <si>
    <t>Cross-Reference / Remarks</t>
  </si>
  <si>
    <t>PAT-001</t>
  </si>
  <si>
    <t>Patent / IPR</t>
  </si>
  <si>
    <t>Complete Patent Application</t>
  </si>
  <si>
    <t>A Cost Effective and User Friendly System to Irrigate Root Canal Under Apical Negative Pressure</t>
  </si>
  <si>
    <t>Domain: Dental &amp; Endodontics | Endodontic apical negative pressure irrigation system; foundation for startup NxGen Healtech</t>
  </si>
  <si>
    <t>Dr. Anup Kakwani (Masters MMT Scholar)</t>
  </si>
  <si>
    <t>Dr. Pravin Kumar (Dentistry, AIIMSJ), Dr. Jaiveer Singh (MME, IITJ)</t>
  </si>
  <si>
    <t>IIT Jodhpur &amp; AIIMS Jodhpur</t>
  </si>
  <si>
    <t>202211041593</t>
  </si>
  <si>
    <t>Application Filed</t>
  </si>
  <si>
    <t>Filing Confirmed</t>
  </si>
  <si>
    <t>Linked Startup: NxGen Healtech Pvt. Ltd. (iVac-Endo) | Office Status: nan</t>
  </si>
  <si>
    <t>PAT-002</t>
  </si>
  <si>
    <t>Pressure Ulcers or Bed Sores Preventing Air Bubble Based Mattress</t>
  </si>
  <si>
    <t>Domain: Assistive Devices &amp; Critical Care | Automated pressure redistribution mattress for ICU and bedridden patients; linked to ShilpinMed</t>
  </si>
  <si>
    <t>Mr. Mitanshu Sharma (PhD Scholar, IDRP)</t>
  </si>
  <si>
    <t>Dr. Shobhana Singh (ME, IITJ), Dr. Nikhil Kothari (AIIMSJ)</t>
  </si>
  <si>
    <t>202211060577</t>
  </si>
  <si>
    <t>Published</t>
  </si>
  <si>
    <t>Published: 2024-04-26</t>
  </si>
  <si>
    <t>Linked Startup: ShilpinMed Technologies Pvt. Ltd. | Office Status: nan</t>
  </si>
  <si>
    <t>PAT-003</t>
  </si>
  <si>
    <t>System and Method for Robot Assisted Echocardiography</t>
  </si>
  <si>
    <t>Domain: Medical Robotics &amp; AI Diagnostics | Robotic cardiac ultrasound acquisition; joint research across CSE, ME, Radiology &amp; Cardiology</t>
  </si>
  <si>
    <t>Gajendra Singh (PhD Scholar, Joint IDRP)</t>
  </si>
  <si>
    <t>Dr. Deepak Mishra (CSE, IITJ), Dr. Jayant Kumar Mohanta (ME, IITJ), Dr. Rahul Choudhary (AIIMSJ), Dr. Pushpinder Khera (AIIMSJ), Dr. Rengarajan Rajagopal (AIIMSJ)</t>
  </si>
  <si>
    <t>202211077085</t>
  </si>
  <si>
    <t>Published: 2025-01-03</t>
  </si>
  <si>
    <t>Linked Startup: Visionence Tech Pvt. Ltd. | Office Status: nan</t>
  </si>
  <si>
    <t>PAT-004</t>
  </si>
  <si>
    <t>Monitoring Neonatal Bilirubin Levels</t>
  </si>
  <si>
    <t>Domain: Neonatal Care &amp; Screening | Non-invasive point-of-care optical / transcutaneous neonatal jaundice &amp; bilirubin diagnostic system</t>
  </si>
  <si>
    <t>Umme Abiha &amp; Harsh Saxena (IITJ)</t>
  </si>
  <si>
    <t>Dr. Saptarshi Mandal (AIIMSJ), Dr. Dip Sankar Banerjee (IITJ)</t>
  </si>
  <si>
    <t>202411028352</t>
  </si>
  <si>
    <t>Published: 2025-08-29</t>
  </si>
  <si>
    <t>Linked Startup: - | Office Status: FER</t>
  </si>
  <si>
    <t>PAT-005</t>
  </si>
  <si>
    <t>Provisional Patent Application</t>
  </si>
  <si>
    <t>A Device for Reshaping a Cartilage</t>
  </si>
  <si>
    <t>Domain: ENT &amp; Surgical Devices | Electromechanical cartilage reshaping device for reconstructive ENT surgery; incubated at Caldor</t>
  </si>
  <si>
    <t>Harisharan R &amp; Katyayanee Sharma (IITJ)</t>
  </si>
  <si>
    <t>Prof. Ajay Agarwal (EE, IITJ), Dr. Amit Goyal (ENT, AIIMSJ)</t>
  </si>
  <si>
    <t>202411033887</t>
  </si>
  <si>
    <t>Provisional Filed</t>
  </si>
  <si>
    <t>Linked Startup: Caldor Health Technologies Pvt. Ltd. | Office Status: Only provisional</t>
  </si>
  <si>
    <t>PAT-006</t>
  </si>
  <si>
    <t>System for Multimodal Data Acquisition and Synchronization and Method Thereof</t>
  </si>
  <si>
    <t>Domain: Medical Imaging &amp; Synchronization | Synchronized cardiovascular multi-sensor data capture for surgical guidance and telemetry</t>
  </si>
  <si>
    <t>Dr. Deepak Mishra (IITJ), Dr. Jayant Kumar Mohanta (IITJ), Dr. Rahul Choudhary (AIIMSJ), Dr. Pushpinder Singh Khera (AIIMSJ), Dr. Rengarajan Rajagopal (AIIMSJ), Dr. Alok Kumar Sharma (AIIMSJ)</t>
  </si>
  <si>
    <t>202411058458</t>
  </si>
  <si>
    <t>Awaiting Publication</t>
  </si>
  <si>
    <t>Linked Startup: Visionence Tech Pvt. Ltd. | Office Status: awaiting publication</t>
  </si>
  <si>
    <t>PAT-007</t>
  </si>
  <si>
    <t>System and Method for Children's Nutritional Status Assessment</t>
  </si>
  <si>
    <t>Domain: Pediatric Diagnostics &amp; AI | Computer vision and deep learning framework for pediatric malnutrition screening</t>
  </si>
  <si>
    <t>Misaal Khan (AIIMSJ / Joint IDRP)</t>
  </si>
  <si>
    <t>Dr. Mayank Vatsa (CSE, IITJ), Dr. Richa Singh (CSE, IITJ), Dr. Kuldeep Singh (Pediatrics, AIIMSJ)</t>
  </si>
  <si>
    <t>202411076128</t>
  </si>
  <si>
    <t>Published: 2025-12-05</t>
  </si>
  <si>
    <t>PAT-008</t>
  </si>
  <si>
    <t>Quadruple High-Performance Modular Bioink for 3D Bioprinting and Allied Applications</t>
  </si>
  <si>
    <t>Domain: 3D Bioprinting &amp; Biomaterials | Novel biomaterial formulation for non-animal drug screening; core IP for startup Cellverse</t>
  </si>
  <si>
    <t>Dr. Kanika Singroha (PhD Scholar, MedTech)</t>
  </si>
  <si>
    <t>Dr. Indranil Banerjee (BSBE, IITJ), Dr. Shilpi Gupta Dixit (Anatomy, AIIMSJ)</t>
  </si>
  <si>
    <t>202511037139</t>
  </si>
  <si>
    <t>Published: 2025-05-09</t>
  </si>
  <si>
    <t>Linked Startup: Cellverse Pvt. Ltd. | Office Status: FER</t>
  </si>
  <si>
    <t>PAT-009</t>
  </si>
  <si>
    <t>Cell Suspensor Cum Bioink Homogenizer</t>
  </si>
  <si>
    <t>Domain: Biomedical Instrumentation | Hardware apparatus ensuring cellular viability and uniform distribution during bioprinting</t>
  </si>
  <si>
    <t>202511037986</t>
  </si>
  <si>
    <t>PAT-010</t>
  </si>
  <si>
    <t>An Osteogenic-Angiogenic Composition and Implementations Thereof</t>
  </si>
  <si>
    <t>Domain: Regenerative Medicine &amp; Implants | Composite biomatrix promoting vascularization and rapid bone repair in craniofacial reconstruction</t>
  </si>
  <si>
    <t>Justy N Francis (PhD Scholar, IDRP)</t>
  </si>
  <si>
    <t>Dr. Jaiveer Singh (MME, IITJ), Dr. Indranil Banerjee (BSBE, IITJ), Dr. Ankita Chugh (Dentistry, AIIMSJ)</t>
  </si>
  <si>
    <t>202511040294</t>
  </si>
  <si>
    <t>Published: 2025-05-16</t>
  </si>
  <si>
    <t>PAT-011</t>
  </si>
  <si>
    <t>Interactive Medical Imaging Simulator with Dynamic Data Integration for Ultrasound Training</t>
  </si>
  <si>
    <t>Domain: Medical Simulation &amp; Training | Virtual ultrasound simulation system integrating clinical ultrasound datasets for hands-on medical training</t>
  </si>
  <si>
    <t>Dr. Deepak Mishra (CSE, IITJ), Dr. Rahul Choudhary (AIIMSJ), Dr. Pushpinder Singh Khera (AIIMSJ)</t>
  </si>
  <si>
    <t>202511040403</t>
  </si>
  <si>
    <t>Awaiting CS (First Action)</t>
  </si>
  <si>
    <t>Linked Startup: Visionence Tech Pvt. Ltd. | Office Status: Awaiting CS</t>
  </si>
  <si>
    <t>PAT-012</t>
  </si>
  <si>
    <t>Enzyme-Free Colorimetric Glucose Biosensing via Transition Metal Dichalcogenides (TMD) Nanomaterial</t>
  </si>
  <si>
    <t>Domain: Point-of-Care Biosensors | GRANTED PATENT (15-Dec-2025). High-stability non-enzymatic optical glucose sensor. (Updated entry at S.No 27)</t>
  </si>
  <si>
    <t>Saloni Singhal (Student, MedTech)</t>
  </si>
  <si>
    <t>Dr. Ankur Gupta (ME, IITJ), Dr. Saptarshi Mandal (AIIMSJ)</t>
  </si>
  <si>
    <t>202511041154</t>
  </si>
  <si>
    <t>Granted (Duplicate Entry S.No 27)</t>
  </si>
  <si>
    <t>Granted: 2025-12-15</t>
  </si>
  <si>
    <t>Linked Startup: - | Office Status: FER (Granted)</t>
  </si>
  <si>
    <t>PAT-013</t>
  </si>
  <si>
    <t>Laparoscopic Instruments</t>
  </si>
  <si>
    <t>Domain: Minimally Invasive Surgery | Ergonomic multi-articulating surgical laparoscopic tooling for precision abdominal procedures</t>
  </si>
  <si>
    <t>Pankaj Sablania &amp; Mahendra Singh</t>
  </si>
  <si>
    <t>Dr. Jaiveer Singh (MME, IITJ), Dr. A.S. Sandhu</t>
  </si>
  <si>
    <t>202511045522</t>
  </si>
  <si>
    <t>PAT-014</t>
  </si>
  <si>
    <t>Method to Produce MoS2 Functionalized DMPS Embedded Chitosan Platform for Biosensing Application</t>
  </si>
  <si>
    <t>Domain: Nanomaterial Biosensors | GRANTED PATENT (17-Feb-2026). Nanomaterial bio-functionalized matrix for high-sensitivity biomarker detection</t>
  </si>
  <si>
    <t>202511046430</t>
  </si>
  <si>
    <t>Granted</t>
  </si>
  <si>
    <t>Granted: 2026-02-17</t>
  </si>
  <si>
    <t>Linked Startup: - | Office Status: Granted</t>
  </si>
  <si>
    <t>PAT-015</t>
  </si>
  <si>
    <t>Point-of-Care Device to Detect Sepsis</t>
  </si>
  <si>
    <t>Domain: Point-of-Care Diagnostics | Rapid microfluidic biomarker analyzer for early bedside sepsis interception; linked to Sarbit Innovations</t>
  </si>
  <si>
    <t>Sarvar Singh (EE, IITJ)</t>
  </si>
  <si>
    <t>Prof. Ajay Agarwal (EE, IITJ), Prof. Neeraj Gupta (AIIMSJ)</t>
  </si>
  <si>
    <t>202511061615</t>
  </si>
  <si>
    <t>Linked Startup: Sarbit Innovations Pvt. Ltd. | Office Status: Awaiting CS</t>
  </si>
  <si>
    <t>PAT-016</t>
  </si>
  <si>
    <t>Quantitative Analysis of Hematocrit Value via Non-Enzymatic Triggered Viscoelastic Transition of Alginate Networks on Biodegradable Matrix</t>
  </si>
  <si>
    <t>Domain: Hematology &amp; Diagnostics | GRANTED PATENT (25-Mar-2026). Viscoelastic micro-assay for rapid point-of-care hematocrit testing</t>
  </si>
  <si>
    <t>Prof. Ankur Gupta (ME, IITJ), Dr. Saptarshi Mandal (AIIMSJ)</t>
  </si>
  <si>
    <t>202511064909</t>
  </si>
  <si>
    <t>Granted: 2026-03-25</t>
  </si>
  <si>
    <t>PAT-017</t>
  </si>
  <si>
    <t>A Ready and Portable Point-of-Care System for Blood Group Identification</t>
  </si>
  <si>
    <t>Domain: Point-of-Care Blood Testing | Instant handheld forward/reverse blood phenotyping platform for emergency trauma and transfusions</t>
  </si>
  <si>
    <t>202511072465</t>
  </si>
  <si>
    <t>Published: 2025-09-05</t>
  </si>
  <si>
    <t>Linked Startup: - | Office Status: Under ammended Examination</t>
  </si>
  <si>
    <t>PAT-018</t>
  </si>
  <si>
    <t>Highly Biocompatible Craniofacial Fracture Miniplates with Favourable Mechanical Properties</t>
  </si>
  <si>
    <t>Domain: Orthopedic &amp; Craniofacial Implants | Bioabsorbable patient-specific fixation miniplates reducing secondary implant removal surgeries</t>
  </si>
  <si>
    <t>Dr. Jaiveer Singh (MME, IITJ), Dr. Indranil Banerjee (BSBE, IITJ), Dr. Ankita Chugh (AIIMSJ)</t>
  </si>
  <si>
    <t>202511081831</t>
  </si>
  <si>
    <t>PAT-019</t>
  </si>
  <si>
    <t>PBM: Peel-Off Sensor for Detecting Breathing Movement at Birth</t>
  </si>
  <si>
    <t>Domain: Neonatal Respiration &amp; Wearables | Skin-conformal peel-off sensor for zero-delay neonatal respiration monitoring in labor rooms</t>
  </si>
  <si>
    <t>Gitansh Verma (MedTech Researcher)</t>
  </si>
  <si>
    <t>Dr. Shrutidhara Sharma (IITJ)</t>
  </si>
  <si>
    <t>202511104163</t>
  </si>
  <si>
    <t>Linked Startup: - | Office Status: Awaiting CS</t>
  </si>
  <si>
    <t>PAT-020</t>
  </si>
  <si>
    <t>A Multi-Functional Retracting Device for Intraoral Procedures and Method Thereof</t>
  </si>
  <si>
    <t>Domain: Dental &amp; Oral Surgery Devices | GRANTED PATENT (15-Jun-2026). Multifunctional intraoral retractor optimizing surgical field visualization</t>
  </si>
  <si>
    <t>Ashwin C R (MedTech Student)</t>
  </si>
  <si>
    <t>Dr. Bhivraj Suthar (AI&amp;DS, IITJ), Dr. Ankita Chugh (Dentistry, AIIMSJ), Dr. Amit Goyal (ENT, AIIMSJ)</t>
  </si>
  <si>
    <t>202511105376</t>
  </si>
  <si>
    <t>Granted: 2026-06-15</t>
  </si>
  <si>
    <t>PAT-021</t>
  </si>
  <si>
    <t>Force-Sensor-Based Tapping Device and Method for Determining Motor Responses in Drug-Induced Parkinsonism</t>
  </si>
  <si>
    <t>Domain: Neurodiagnostics &amp; Motor Response | Objective quantification of extrapyramidal motor side-effects during antipsychotic clinical therapies</t>
  </si>
  <si>
    <t>Monika Sharma (Student, MedTech Center)</t>
  </si>
  <si>
    <t>Dr. Pankaj Yadav (BSBE, IITJ), Dr. Navratan Suthar (Psychiatry, AIIMSJ)</t>
  </si>
  <si>
    <t>202511106532</t>
  </si>
  <si>
    <t>Awaiting FER</t>
  </si>
  <si>
    <t>Published: 2025-12-26</t>
  </si>
  <si>
    <t>Linked Startup: - | Office Status: Awaiting FER</t>
  </si>
  <si>
    <t>PAT-022</t>
  </si>
  <si>
    <t>An Apparatus for Regulating Neonatal Thermal Conditions</t>
  </si>
  <si>
    <t>Domain: Neonatal Intensive Care &amp; Thermal Regulation | Adaptive thermal regulation enclosure for preterm neonates preventing hypothermia complications</t>
  </si>
  <si>
    <t>Neha Nagarkoti (Student, MedTech)</t>
  </si>
  <si>
    <t>Dr. Kaushal A. Desai (ME, IITJ), Dr. Neeraj Gupta (Pediatrics, AIIMSJ)</t>
  </si>
  <si>
    <t>202511107337</t>
  </si>
  <si>
    <t>Linked Startup: - | Office Status: Published</t>
  </si>
  <si>
    <t>PAT-023</t>
  </si>
  <si>
    <t>System and Method for Automated Multi-Channel Intravenous Drug Delivery</t>
  </si>
  <si>
    <t>Domain: Drug Delivery &amp; Infusion Automation | Automated closed-loop multi-channel infusion workstation for critical care anaesthesia</t>
  </si>
  <si>
    <t>Abhijeet Rajak &amp; Ramkishore Jangid (IDRP)</t>
  </si>
  <si>
    <t>Dr. Arpit Khandelwal (EE, IITJ), Dr. Shilpa Goyal (AIIMSJ), Dr. Amit Goyal (AIIMSJ)</t>
  </si>
  <si>
    <t>202511108503</t>
  </si>
  <si>
    <t>Published: 2026-01-30</t>
  </si>
  <si>
    <t>Linked Startup: Medvocare Pvt. Ltd. | Office Status: Under ammended Examination</t>
  </si>
  <si>
    <t>PAT-024</t>
  </si>
  <si>
    <t>Near Infrared Light Activatable Biomimetic Drug Delivery System for Chemo-Phototherapy of Cancer</t>
  </si>
  <si>
    <t>Domain: Nanomedicine &amp; Targeted Oncology | Targeted tumor ablation combining NIR photo-triggered hyperthermia and site-specific drug release</t>
  </si>
  <si>
    <t>Sarmistha Mazumder (Student, MedTech)</t>
  </si>
  <si>
    <t>Dr. Raviraj Vankayala (BSBE, IITJ), Dr. Puneet Pareek (Radiation Oncology, AIIMSJ)</t>
  </si>
  <si>
    <t>202511113643</t>
  </si>
  <si>
    <t>Linked Startup: - | Office Status: Reply Filed. Application in amended examination</t>
  </si>
  <si>
    <t>PAT-025</t>
  </si>
  <si>
    <t>A Paper-Based Analytical Device (PAD) for Blood Typing and Method Thereof</t>
  </si>
  <si>
    <t>Domain: Point-of-Care Diagnostics | Low-cost microfluidic paper diagnostic assay for rapid bedside blood grouping and typing</t>
  </si>
  <si>
    <t>Saloni Singhal (Masters-PhD, MedTech)</t>
  </si>
  <si>
    <t>Dr. Ankur Gupta (ME, IITJ), Dr. Saptarshi Mandal (Transfusion Medicine, AIIMSJ)</t>
  </si>
  <si>
    <t>202511116826</t>
  </si>
  <si>
    <t>Awaiting Publication / FER</t>
  </si>
  <si>
    <t>Linked Startup: - | Office Status: Awaiting publication/FER</t>
  </si>
  <si>
    <t>PAT-026</t>
  </si>
  <si>
    <t>System and Method for Assisting Malnutrition Assessment Using Graph-Based Learning, Vector Retrieval, and Adaptive Fusion</t>
  </si>
  <si>
    <t>Domain: AI Healthcare &amp; Computer Vision | Multimodal graph neural network and vector retrieval engine for clinical malnutrition screening</t>
  </si>
  <si>
    <t>Dr. Richa Singh (CSE, IITJ), Dr. Mayank Vatsa (CSE, IITJ), Dr. Kuldeep Singh (AIIMSJ)</t>
  </si>
  <si>
    <t>202511127461</t>
  </si>
  <si>
    <t>Linked Startup: - | Office Status: Awaiting Publication/FER</t>
  </si>
  <si>
    <t>PAT-027</t>
  </si>
  <si>
    <t>Domain: Point-of-Care Biosensors | GRANTED PATENT (15-Dec-2025). Updated grant status confirmation for App 202511041154 (see S.No 12)</t>
  </si>
  <si>
    <t>PAT-028</t>
  </si>
  <si>
    <t>Industrial Design (Class 24-01)</t>
  </si>
  <si>
    <t>Neonatal Transport Incubator (Industrial Design under Class 24-01)</t>
  </si>
  <si>
    <t>Domain: Medical Industrial Design &amp; Neonatal Care | Registered industrial design protection for compact emergency neonatal ambulance transport capsule</t>
  </si>
  <si>
    <t>Dr. Kaushal A. Desai (ME, IITJ), Dr. Neeraj Gupta (AIIMSJ)</t>
  </si>
  <si>
    <t>479261-001</t>
  </si>
  <si>
    <t>Design Application Filed</t>
  </si>
  <si>
    <t>Linked Startup: - | Office Status: nan</t>
  </si>
  <si>
    <t>PUB-001</t>
  </si>
  <si>
    <t>Research Publication</t>
  </si>
  <si>
    <t>Student Scholarly Output</t>
  </si>
  <si>
    <t>Ritika Jajoriya - Research Publications</t>
  </si>
  <si>
    <t>1. IEEE Xplore (IEEE NANOMED Conference 2025)</t>
  </si>
  <si>
    <t>Ritika Jajoriya</t>
  </si>
  <si>
    <t>IDRP MedTech Advisory / Joint Faculty</t>
  </si>
  <si>
    <t>Joint IDRP Medical Technologies (IITJ &amp; AIIMSJ)</t>
  </si>
  <si>
    <t>M24IM1005</t>
  </si>
  <si>
    <t>Active Publications</t>
  </si>
  <si>
    <t>J:1 | C:1 | B:1 (Total: 3)</t>
  </si>
  <si>
    <t>Role: Co-Author | Status: Initial Submission (Superseded by S.No 4) | Cross-Ref: IDRP MedTech Masters Cohort; IEEE NANOMED 2025</t>
  </si>
  <si>
    <t>PUB-002</t>
  </si>
  <si>
    <t>Ananta Kapoor - Research Publications</t>
  </si>
  <si>
    <t>1. EMBL Heidelberg AI and Biology Poster Presentation
2. FENS Denmark Brain Conference</t>
  </si>
  <si>
    <t>Ananta Kapoor</t>
  </si>
  <si>
    <t>P24IHC001</t>
  </si>
  <si>
    <t>J:0 | C:2 | B:0 (Total: 2)</t>
  </si>
  <si>
    <t>Role: First Author | Status: Active / Latest Record | Cross-Ref: Neurobiology &amp; AI Neuroscience Research Group</t>
  </si>
  <si>
    <t>PUB-003</t>
  </si>
  <si>
    <t>Ankita Das - Research Publications</t>
  </si>
  <si>
    <t>1. Immunocon 2024 (Indian Immunology Society)</t>
  </si>
  <si>
    <t>Ankita Das</t>
  </si>
  <si>
    <t>P23IHC003</t>
  </si>
  <si>
    <t>J:0 | C:1 | B:0 (Total: 1)</t>
  </si>
  <si>
    <t>Role: First Author | Status: Active / Latest Record | Cross-Ref: Immunology &amp; Biomarker Investigation Lab</t>
  </si>
  <si>
    <t>PUB-004</t>
  </si>
  <si>
    <t>Role: Co-Author | Status: Active / Latest Record | Cross-Ref: Revised verified entry; 1 IEEE international conference publication</t>
  </si>
  <si>
    <t>PUB-005</t>
  </si>
  <si>
    <t>Katyayanee Sharma - Research Publications</t>
  </si>
  <si>
    <t>1. Conference: MNDCS 2024
2. Book Chapter: Lecture Notes in Electrical Engineering, Vol 1382, Springer
3. Journal / Book Chapter: IEEE Biosensors (Under Review)</t>
  </si>
  <si>
    <t>Katyayanee Sharma</t>
  </si>
  <si>
    <t>D21ID006</t>
  </si>
  <si>
    <t>Role: First Author | Status: Active / Latest Record | Cross-Ref: Inventor in Patent App 202411033887 (Cartilage Reshaping Device)</t>
  </si>
  <si>
    <t>PUB-006</t>
  </si>
  <si>
    <t>Sarmistha Mazumder - Research Publications</t>
  </si>
  <si>
    <t>Journals: Frontiers in Chemistry, RSC Advances, ACS ES&amp;T Water, Chemistry - An Asian Journal, ACS Applied Nanomaterials
Book Chapters: Elsevier (2 Book Chapters)</t>
  </si>
  <si>
    <t>Sarmistha Mazumder</t>
  </si>
  <si>
    <t>D20ID008</t>
  </si>
  <si>
    <t>J:5 | C:0 | B:2 (Total: 7)</t>
  </si>
  <si>
    <t>Role: First Author | Status: Active / Latest Record | Cross-Ref: Inventor in Patent App 202511113643 (Phototherapy Cancer Drug Delivery)</t>
  </si>
  <si>
    <t>PUB-007</t>
  </si>
  <si>
    <t>Nikhil Vadera - Research Publications</t>
  </si>
  <si>
    <t>Journals: 1. Microchemical Journal, 2. ACS Sensors Journal, 3. IEEE Sensors Letters Journal
Conferences: 4. IEEE APSCON Conference, 5. IEEE Sensors Conference</t>
  </si>
  <si>
    <t>Nikhil Vadera</t>
  </si>
  <si>
    <t>P20SH003</t>
  </si>
  <si>
    <t>J:3 | C:2 | B:0 (Total: 5)</t>
  </si>
  <si>
    <t>Role: First Author | Status: Active / Latest Record | Cross-Ref: Sensor instrumentation &amp; electrochemical sensing systems</t>
  </si>
  <si>
    <t>PUB-008</t>
  </si>
  <si>
    <t>Misaal Khan - Research Publications</t>
  </si>
  <si>
    <t>Journal: 1. Frontiers in Public Health
Conferences: 2. IJCAI 2023, 3. MICCAI 2024, 4. AAAI 2026, 5. WACV 2026</t>
  </si>
  <si>
    <t>Misaal Khan</t>
  </si>
  <si>
    <t>D20ID004</t>
  </si>
  <si>
    <t>J:1 | C:4 | B:1 (Total: 6)</t>
  </si>
  <si>
    <t>Role: First Author | Status: Active / Latest Record | Cross-Ref: Inventor in 2 Patents (Apps 202411076128 &amp; 202511127461 - Malnutrition AI)</t>
  </si>
  <si>
    <t>PUB-009</t>
  </si>
  <si>
    <t>Ritesh Mishra - Research Publications</t>
  </si>
  <si>
    <t>Journals: 1. Food Control, 2. RSC Sustainable Food Technology, 3. Irrigation Science, 4. Postharvest Biology and Technology, 5. Reviews of Modern Plasma Physics, 6. Radiation Effects and Defects in Solids
Conferences/Chapters: Agricultural Plasma Science Proceedings</t>
  </si>
  <si>
    <t>Ritesh Mishra</t>
  </si>
  <si>
    <t>P20SH004</t>
  </si>
  <si>
    <t>J:6 | C:1 | B:1 (Total: 8)</t>
  </si>
  <si>
    <t>Role: First Author | Status: Active / Latest Record | Cross-Ref: Plasma medicine and biomaterial treatment investigations</t>
  </si>
  <si>
    <t>PUB-010</t>
  </si>
  <si>
    <t>Shivangi Madhavi Harsha - Research Publications</t>
  </si>
  <si>
    <t>1. International Conference - Fashion-Textiles-Wearables 2026 (iLetters/Congress, British Textile Machinery Assoc &amp; The Textile Institute, Manchester, UK)</t>
  </si>
  <si>
    <t>Shivangi Madhavi Harsha</t>
  </si>
  <si>
    <t>P21ID005</t>
  </si>
  <si>
    <t>Role: First Author | Status: Active / Latest Record | Cross-Ref: Oral presentation on smart healthcare wearable textiles</t>
  </si>
  <si>
    <t>PUB-011</t>
  </si>
  <si>
    <t>Parul Kumawat - Research Publications</t>
  </si>
  <si>
    <t>New Research Cohort (Currently initiating research phase; no publications yet)</t>
  </si>
  <si>
    <t>Parul Kumawat</t>
  </si>
  <si>
    <t>P24IM0002</t>
  </si>
  <si>
    <t>Orientation / Initial Phase</t>
  </si>
  <si>
    <t>J:0 | C:0 | B:0 (Total: 0)</t>
  </si>
  <si>
    <t>Role: First Author | Status: Active / Latest Record | Cross-Ref: IDRP MedTech 2024 Batch Scholar</t>
  </si>
  <si>
    <t>PUB-012</t>
  </si>
  <si>
    <t>Umme Abiha - Research Publications</t>
  </si>
  <si>
    <t>Journals: Frontiers in Pediatrics, Medical Engineering &amp; Physics, Medicina
Book Chapters: Elsevier, CRC Press, Springer Nature, Taylor &amp; Francis, Research Square, Authorea (9 Chapters)</t>
  </si>
  <si>
    <t>Umme Abiha</t>
  </si>
  <si>
    <t>P21ID006</t>
  </si>
  <si>
    <t>J:5 | C:0 | B:9 (Total: 14)</t>
  </si>
  <si>
    <t>Role: First Author | Status: Active / Latest Record | Cross-Ref: Inventor in Patent App 202411028352 (Neonatal Bilirubin Monitoring)</t>
  </si>
  <si>
    <t>PUB-013</t>
  </si>
  <si>
    <t>Gajendra Singh - Research Publications</t>
  </si>
  <si>
    <t>Journal: 1. IEEE Sensors Letters
Conferences: 2. ASMUS MICCAI 2025, 3. IEEE SAUS 2024</t>
  </si>
  <si>
    <t>Gajendra Singh</t>
  </si>
  <si>
    <t>P20ID004</t>
  </si>
  <si>
    <t>J:1 | C:2 | B:0 (Total: 3)</t>
  </si>
  <si>
    <t>Role: First Author | Status: Active / Latest Record | Cross-Ref: Co-founder Visionence Tech; Inventor in 3 Patents (Apps 202211077085, 202411058458, 202511040403)</t>
  </si>
  <si>
    <t>PUB-014</t>
  </si>
  <si>
    <t>Midhuna K - Research Publications</t>
  </si>
  <si>
    <t>Manuscript Under Preparation: Biophysical Chemistry</t>
  </si>
  <si>
    <t>Midhuna K</t>
  </si>
  <si>
    <t>P21SH202</t>
  </si>
  <si>
    <t>Manuscript in Prep / In Review</t>
  </si>
  <si>
    <t>Role: First Author | Status: Active / Latest Record | Cross-Ref: Biophysical Chemistry &amp; molecular interactions lab</t>
  </si>
  <si>
    <t>PUB-015</t>
  </si>
  <si>
    <t>Netra Kirankumar Hiremath - Research Publications</t>
  </si>
  <si>
    <t>Journals: 1. ACS Applied Nano Materials (2 publications), 2. Biomaterials Science (2 publications), 3. Nanoscale, 4. ChemMedChem</t>
  </si>
  <si>
    <t>Netra Kirankumar Hiremath</t>
  </si>
  <si>
    <t>P20SH002</t>
  </si>
  <si>
    <t>J:6 | C:0 | B:0 (Total: 6)</t>
  </si>
  <si>
    <t>Role: Co-Author | Status: Active / Latest Record | Cross-Ref: High-impact nanomaterials &amp; therapeutic delivery research</t>
  </si>
  <si>
    <t>PUB-016</t>
  </si>
  <si>
    <t>Justy N Francis - Research Publications</t>
  </si>
  <si>
    <t>Journals: Polymer Composites, Materials Chemistry and Physics (3 papers)</t>
  </si>
  <si>
    <t>Justy N Francis</t>
  </si>
  <si>
    <t>D20ID003</t>
  </si>
  <si>
    <t>J:3 | C:0 | B:0 (Total: 3)</t>
  </si>
  <si>
    <t>Role: First Author | Status: Active / Latest Record | Cross-Ref: Inventor in 2 Patents (Apps 202511040294 &amp; 202511081831 - Implants)</t>
  </si>
  <si>
    <t>PUB-017</t>
  </si>
  <si>
    <t>Ramkamal Samat - Research Publications</t>
  </si>
  <si>
    <t>Journals: ACS Infectious Diseases, Journal of Medicinal Chemistry (4 papers)</t>
  </si>
  <si>
    <t>Ramkamal Samat</t>
  </si>
  <si>
    <t>IDRPSHC006</t>
  </si>
  <si>
    <t>J:4 | C:0 | B:0 (Total: 4)</t>
  </si>
  <si>
    <t>Role: First Author | Status: Active / Latest Record | Cross-Ref: Antimicrobial medicinal chemistry &amp; drug synthesis</t>
  </si>
  <si>
    <t>STU-001</t>
  </si>
  <si>
    <t>Startup / Venture</t>
  </si>
  <si>
    <t>Incubated Enterprise</t>
  </si>
  <si>
    <t>Novealthy Innovations Pvt. Ltd.</t>
  </si>
  <si>
    <t>Pathology at Home Diagnostic Kit - Comprehensive remote home-diagnostics kit and IoT health-monitoring infrastructure for distributed patient care</t>
  </si>
  <si>
    <t>Dr. Sumit Kalra</t>
  </si>
  <si>
    <t>Centre for Technology Business Incubation (TBI) / IDRP MedTech</t>
  </si>
  <si>
    <t>TBI-AGR-202206-01</t>
  </si>
  <si>
    <t>Incubated</t>
  </si>
  <si>
    <t>Faculty Role: Director</t>
  </si>
  <si>
    <t>Patents: - | Focus: Digital Health &amp; Diagnostics | Student Lead: Dr. Sumit Kalra (Faculty-Led Venture)</t>
  </si>
  <si>
    <t>STU-002</t>
  </si>
  <si>
    <t>Healyantra Medical Technologies Pvt. Ltd.</t>
  </si>
  <si>
    <t>Single Operator Single Hand Syringe for Ultrasound Guided Procedures - Ergonomically engineered single-handed precision syringe allowing solo clinicians to aspirate and inject during ultrasound scanning</t>
  </si>
  <si>
    <t>Dr. Varun Khandelwal, Mr. Divesh Kumar Awasthi, Dr. Hardik Kothadia</t>
  </si>
  <si>
    <t>Dr. Hardik Kothadia</t>
  </si>
  <si>
    <t>TBI-AGR-202403-02</t>
  </si>
  <si>
    <t>Patents: - | Focus: Interventional Radiology &amp; Surgery | Student Lead: Mr. Divesh Kumar Awasthi &amp; Dr. Varun Khandelwal</t>
  </si>
  <si>
    <t>STU-003</t>
  </si>
  <si>
    <t>Pre-Incubatee Enterprise</t>
  </si>
  <si>
    <t>Caldor Health Technologies Pvt. Ltd.</t>
  </si>
  <si>
    <t>Electromechanical Reshaping (Cartilage Reshaping Device) - Non-thermal electromechanical tissue remodelling platform for minimally invasive reconstructive rhinoplasty and ENT surgery</t>
  </si>
  <si>
    <t>Mr. Thilak Chakravarthy, Mr. Harisharan Ramesh, Dr. Ajay Agarwal</t>
  </si>
  <si>
    <t>Dr. Ajay Agarwal</t>
  </si>
  <si>
    <t>TBI-AGR-202401-03</t>
  </si>
  <si>
    <t>Pre-Incubatee</t>
  </si>
  <si>
    <t>Faculty Role: Mentor</t>
  </si>
  <si>
    <t>Patents: Patent App 202411033887 | Focus: ENT &amp; Tissue Remodelling | Student Lead: Mr. Thilak Chakravarthy &amp; Mr. Harisharan Ramesh</t>
  </si>
  <si>
    <t>STU-004</t>
  </si>
  <si>
    <t>Medvocare Pvt. Ltd.</t>
  </si>
  <si>
    <t>Endotracheal Tube with Oral Irrigator &amp; Multichannel Infusion Delivery - Smart endotracheal medical device with built-in oral irrigation reducing ventilator-associated pneumonia (VAP) in ICU patients</t>
  </si>
  <si>
    <t>Dr. Ramkishore Jangid, Dr. Shobhana Singh</t>
  </si>
  <si>
    <t>Dr. Shobhana Singh</t>
  </si>
  <si>
    <t>TBI-AGR-202408-04</t>
  </si>
  <si>
    <t>Patents: Patent Apps 202211060577 &amp; 202511108503 | Focus: Critical Care, ICU &amp; Drug Delivery | Student Lead: Dr. Ramkishore Jangid (PhD Scholar, IDRP)</t>
  </si>
  <si>
    <t>STU-005</t>
  </si>
  <si>
    <t>Cellverse Pvt. Ltd.</t>
  </si>
  <si>
    <t>3D Bioprinted Non-Animal Disease Models &amp; Modular Bioink Platforms - Engineered 3D bioprinted humanized tissue and organoid test systems replacing animal testing for pharmaceutical toxicological evaluation</t>
  </si>
  <si>
    <t>Dr. Kanika Singroha, Dr. Indranil Banerjee</t>
  </si>
  <si>
    <t>Dr. Indranil Banerjee</t>
  </si>
  <si>
    <t>TBI-AGR-202304-05</t>
  </si>
  <si>
    <t>Patents: Patent Apps 202511037139 &amp; 202511037986 | Focus: 3D Bioprinting &amp; Drug Discovery | Student Lead: Dr. Kanika Singroha (PhD Scholar, MedTech)</t>
  </si>
  <si>
    <t>STU-006</t>
  </si>
  <si>
    <t>NxGen Healtech Pvt. Ltd.</t>
  </si>
  <si>
    <t>iVac-Endo (Apical Negative Pressure Root Canal Irrigation System) - Automated apical negative pressure irrigation instrument eliminating procedural extrusion risks in dental endodontic procedures</t>
  </si>
  <si>
    <t>Dr. Anup Kakwani</t>
  </si>
  <si>
    <t>Mentored via AIIMS-IIT Joint Program (Independent / External)</t>
  </si>
  <si>
    <t>TBI-AGR-202309-06</t>
  </si>
  <si>
    <t>Faculty Role: Lead Innovator</t>
  </si>
  <si>
    <t>Patents: Patent App 202211041593 | Focus: Dental Endodontics &amp; Devices | Student Lead: Dr. Anup Kakwani (Masters MMT Alumnus)</t>
  </si>
  <si>
    <t>STU-007</t>
  </si>
  <si>
    <t>Oncosphera Pvt. Ltd.</t>
  </si>
  <si>
    <t>Patient-Derived 3D Organoid Platform Integrated with AI/ML Genomics - Integrates patient-derived 3D tumor organoids with genomic AI/ML profiling to recommend tailored high-efficacy cancer chemotherapy regimens</t>
  </si>
  <si>
    <t>Dr. Siddharth Srivatsava, Dr. Sushmita Jha, Dr. Vishakha Pareek</t>
  </si>
  <si>
    <t>Dr. Siddharth Srivatsava, Dr. Sushmita Jha</t>
  </si>
  <si>
    <t>TBI-AGR-202312-07</t>
  </si>
  <si>
    <t>Patents: - | Focus: Precision Oncology &amp; AI Therapeutics | Student Lead: Dr. Vishakha Pareek</t>
  </si>
  <si>
    <t>STU-008</t>
  </si>
  <si>
    <t>Sarbit Innovations Pvt. Ltd.</t>
  </si>
  <si>
    <t>Kavak Sensorium (Wearable Bedside Sepsis Diagnostic Sensor) - Rapid response micro-sensor array delivering automated continuous monitoring of physiological sepsis markers</t>
  </si>
  <si>
    <t>Mr. Sambit Kumar Keshi, Mr. Sarvar Singh, Dr. Ajay Agarwal</t>
  </si>
  <si>
    <t>TBI-AGR-202309-08</t>
  </si>
  <si>
    <t>Patents: Patent App 202511061615 | Focus: Wearable Diagnostics &amp; Sepsis Sensors | Student Lead: Mr. Sambit Kumar Keshi &amp; Mr. Sarvar Singh</t>
  </si>
  <si>
    <t>STU-009</t>
  </si>
  <si>
    <t>Visionence Tech Pvt. Ltd.</t>
  </si>
  <si>
    <t>IntelloAdaptive CIS (Intelligent CMOS Image Sensors for Edge Computation) - Next-generation CMOS intelligent image sensors embedded with edge neural inference for medical computer vision and ultrasound simulation</t>
  </si>
  <si>
    <t>Dr. Deepak Mishra, Dr. Amandeep Kaur, Gajendra Singh, Wilfred Kisku</t>
  </si>
  <si>
    <t>Dr. Deepak Mishra, Dr. Amandeep Kaur</t>
  </si>
  <si>
    <t>TBI-AGR-202402-09</t>
  </si>
  <si>
    <t>Patents: Patent Apps 202211077085, 202411058458, 202511040403 | Focus: Edge AI Vision &amp; Medical Imaging | Student Lead: Gajendra Singh (PhD Scholar, IDRP) &amp; Wilfred Kisku</t>
  </si>
  <si>
    <t>STU-010</t>
  </si>
  <si>
    <t>ShilpinMed Technologies Pvt. Ltd.</t>
  </si>
  <si>
    <t>Mattress Based Hygiene Management System (Bed Sore Prevention) - Smart sensor-actuated hospital mattress platform preventing decubitus ulcers and automating inpatient pressure relief</t>
  </si>
  <si>
    <t>Ajmal Jaleel, Ashifa A, Dr. Jayant Kumar Mohanta</t>
  </si>
  <si>
    <t>Dr. Jayant Kumar Mohanta</t>
  </si>
  <si>
    <t>TBI-AGR-202402-10</t>
  </si>
  <si>
    <t>Patents: Patent App 202211060577 | Focus: Smart Hospital Furniture &amp; Assistive Tech | Student Lead: Ajmal Jaleel &amp; Ashifa A</t>
  </si>
  <si>
    <t>CENTRE FOR MEDICAL TECHNOLOGIES (IDRP) - INTELLECTUAL PROPERTY &amp; PATENT REGISTRY</t>
  </si>
  <si>
    <t>Official Indian Patent Applications, Class 24-01 Designs &amp; Grant Records (28 Filings / 27 Unique Inventions)</t>
  </si>
  <si>
    <t>S.No.</t>
  </si>
  <si>
    <t>Application No.</t>
  </si>
  <si>
    <t>Invention / Patent Title</t>
  </si>
  <si>
    <t>Technology Domain</t>
  </si>
  <si>
    <t>Lead Inventor / Student</t>
  </si>
  <si>
    <t>IIT Jodhpur &amp; AIIMS Faculty</t>
  </si>
  <si>
    <t>All Inventors (Official Record)</t>
  </si>
  <si>
    <t>Date of Filing</t>
  </si>
  <si>
    <t>Publication Date</t>
  </si>
  <si>
    <t>Grant Date</t>
  </si>
  <si>
    <t>Official Status</t>
  </si>
  <si>
    <t>Standardized Status</t>
  </si>
  <si>
    <t>Commercialization / Linked Startup</t>
  </si>
  <si>
    <t>Status Notes &amp; Remarks</t>
  </si>
  <si>
    <t>Dental &amp; Endodontics</t>
  </si>
  <si>
    <t>Dr. Anup Kakwani, Dr. Pravin Kumar, Dr. Jaiveer Singh</t>
  </si>
  <si>
    <t>Pending</t>
  </si>
  <si>
    <t>-</t>
  </si>
  <si>
    <t>nan</t>
  </si>
  <si>
    <t>NxGen Healtech Pvt. Ltd. (iVac-Endo)</t>
  </si>
  <si>
    <t>Endodontic apical negative pressure irrigation system; foundation for startup NxGen Healtech</t>
  </si>
  <si>
    <t>Assistive Devices &amp; Critical Care</t>
  </si>
  <si>
    <t>Prof. Shobhana Singh, Dr. Nikhil Kothari, Mr. Mitanshu Sharma</t>
  </si>
  <si>
    <t>Automated pressure redistribution mattress for ICU and bedridden patients; linked to ShilpinMed</t>
  </si>
  <si>
    <t>Medical Robotics &amp; AI Diagnostics</t>
  </si>
  <si>
    <t>Gajendra Singh, Dr. Deepak Mishra, Dr. Rahul Choudhary, Dr. Jayant Kumar Mohanta, Dr. Pushpinder Khera, Dr. Rengarajan Rajagopal</t>
  </si>
  <si>
    <t>Robotic cardiac ultrasound acquisition; joint research across CSE, ME, Radiology &amp; Cardiology</t>
  </si>
  <si>
    <t>Neonatal Care &amp; Screening</t>
  </si>
  <si>
    <t>Dr. Saptarshi Mandal, Dr. Dip Sankar Banerjee, Umme Abiha, Harsh Saxena</t>
  </si>
  <si>
    <t>FER</t>
  </si>
  <si>
    <t>Non-invasive point-of-care optical / transcutaneous neonatal jaundice &amp; bilirubin diagnostic system</t>
  </si>
  <si>
    <t>ENT &amp; Surgical Devices</t>
  </si>
  <si>
    <t>Prof. Ajay Agarwal, Harisharan R, Dr. Amit Goyal, Katyayanee Sharma</t>
  </si>
  <si>
    <t>Only provisional</t>
  </si>
  <si>
    <t>Electromechanical cartilage reshaping device for reconstructive ENT surgery; incubated at Caldor</t>
  </si>
  <si>
    <t>Medical Imaging &amp; Synchronization</t>
  </si>
  <si>
    <t>Gajendra Singh, Dr. Deepak Mishra, Dr. Jayant Kumar Mohanta, Dr. Rahul Choudhary, Dr. Pushpinder Singh Khera, Dr. Rengarajan Rajagopal, Dr. Alok Kumar Sharma</t>
  </si>
  <si>
    <t>awaiting publication</t>
  </si>
  <si>
    <t>Synchronized cardiovascular multi-sensor data capture for surgical guidance and telemetry</t>
  </si>
  <si>
    <t>Pediatric Diagnostics &amp; AI</t>
  </si>
  <si>
    <t>Dr. Mayank Vatsa, Dr. Richa Singh, Misaal Khan, Dr. Kuldeep Singh</t>
  </si>
  <si>
    <t>Computer vision and deep learning framework for pediatric malnutrition screening</t>
  </si>
  <si>
    <t>3D Bioprinting &amp; Biomaterials</t>
  </si>
  <si>
    <t>Dr. Kanika Singroha, Dr. Indranil Banerjee, Dr. Shilpi Gupta Dixit</t>
  </si>
  <si>
    <t>Novel biomaterial formulation for non-animal drug screening; core IP for startup Cellverse</t>
  </si>
  <si>
    <t>Biomedical Instrumentation</t>
  </si>
  <si>
    <t>Hardware apparatus ensuring cellular viability and uniform distribution during bioprinting</t>
  </si>
  <si>
    <t>Regenerative Medicine &amp; Implants</t>
  </si>
  <si>
    <t>Dr. Jaiveer Singh, Dr. Indranil Banerjee, Dr. Ankita Chugh, Justy N Francis</t>
  </si>
  <si>
    <t>Composite biomatrix promoting vascularization and rapid bone repair in craniofacial reconstruction</t>
  </si>
  <si>
    <t>Medical Simulation &amp; Training</t>
  </si>
  <si>
    <t>Gajendra Singh, Dr. Deepak Mishra, Dr. Rahul Choudhary, Dr. Pushpinder Singh Khera</t>
  </si>
  <si>
    <t>Awaiting CS</t>
  </si>
  <si>
    <t>Virtual ultrasound simulation system integrating clinical ultrasound datasets for hands-on medical training</t>
  </si>
  <si>
    <t>Point-of-Care Biosensors</t>
  </si>
  <si>
    <t>Dr. Ankur Gupta, Dr. Saptarshi Mandal, Saloni Singhal</t>
  </si>
  <si>
    <t>FER (Granted)</t>
  </si>
  <si>
    <t>GRANTED PATENT (15-Dec-2025). High-stability non-enzymatic optical glucose sensor. (Updated entry at S.No 27)</t>
  </si>
  <si>
    <t>Minimally Invasive Surgery</t>
  </si>
  <si>
    <t>Dr. Jaiveer Singh, Pankaj Sablania, Mahendra Singh, Dr. A.S. Sandhu</t>
  </si>
  <si>
    <t>Ergonomic multi-articulating surgical laparoscopic tooling for precision abdominal procedures</t>
  </si>
  <si>
    <t>Nanomaterial Biosensors</t>
  </si>
  <si>
    <t>GRANTED PATENT (17-Feb-2026). Nanomaterial bio-functionalized matrix for high-sensitivity biomarker detection</t>
  </si>
  <si>
    <t>Point-of-Care Diagnostics</t>
  </si>
  <si>
    <t>Prof. Ajay Agarwal, Prof. Neeraj Gupta, Sarvar Singh</t>
  </si>
  <si>
    <t>Rapid microfluidic biomarker analyzer for early bedside sepsis interception; linked to Sarbit Innovations</t>
  </si>
  <si>
    <t>Hematology &amp; Diagnostics</t>
  </si>
  <si>
    <t>Prof. Ankur Gupta, Saloni Singhal, Dr. Saptarshi Mandal</t>
  </si>
  <si>
    <t>GRANTED PATENT (25-Mar-2026). Viscoelastic micro-assay for rapid point-of-care hematocrit testing</t>
  </si>
  <si>
    <t>Point-of-Care Blood Testing</t>
  </si>
  <si>
    <t>Under ammended Examination</t>
  </si>
  <si>
    <t>Instant handheld forward/reverse blood phenotyping platform for emergency trauma and transfusions</t>
  </si>
  <si>
    <t>Orthopedic &amp; Craniofacial Implants</t>
  </si>
  <si>
    <t>Bioabsorbable patient-specific fixation miniplates reducing secondary implant removal surgeries</t>
  </si>
  <si>
    <t>Neonatal Respiration &amp; Wearables</t>
  </si>
  <si>
    <t>Dr. Shrutidhara Sharma, Gitansh Verma</t>
  </si>
  <si>
    <t>Skin-conformal peel-off sensor for zero-delay neonatal respiration monitoring in labor rooms</t>
  </si>
  <si>
    <t>Dental &amp; Oral Surgery Devices</t>
  </si>
  <si>
    <t>Ashwin C R, Dr. Bhivraj Suthar, Dr. Ankita Chugh, Dr. Amit Goyal</t>
  </si>
  <si>
    <t>GRANTED PATENT (15-Jun-2026). Multifunctional intraoral retractor optimizing surgical field visualization</t>
  </si>
  <si>
    <t>Neurodiagnostics &amp; Motor Response</t>
  </si>
  <si>
    <t>Monika Sharma, Dr. Pankaj Yadav, Dr. Navratan Suthar</t>
  </si>
  <si>
    <t>Objective quantification of extrapyramidal motor side-effects during antipsychotic clinical therapies</t>
  </si>
  <si>
    <t>Neonatal Intensive Care &amp; Thermal Regulation</t>
  </si>
  <si>
    <t>Dr. Kaushal A. Desai, Dr. Neeraj Gupta, Neha Nagarkoti</t>
  </si>
  <si>
    <t>Adaptive thermal regulation enclosure for preterm neonates preventing hypothermia complications</t>
  </si>
  <si>
    <t>Drug Delivery &amp; Infusion Automation</t>
  </si>
  <si>
    <t>Dr. Arpit Khandelwal, Abhijeet Rajak, Dr. Shilpa Goyal, Dr. Amit Goyal, Dr. Ramkishore Jangid</t>
  </si>
  <si>
    <t>Automated closed-loop multi-channel infusion workstation for critical care anaesthesia</t>
  </si>
  <si>
    <t>Nanomedicine &amp; Targeted Oncology</t>
  </si>
  <si>
    <t>Sarmistha Mazumder, Dr. Raviraj Vankayala, Dr. Puneet Pareek</t>
  </si>
  <si>
    <t>Reply Filed. Application in amended examination</t>
  </si>
  <si>
    <t>Targeted tumor ablation combining NIR photo-triggered hyperthermia and site-specific drug release</t>
  </si>
  <si>
    <t>Saloni Singhal, Dr. Ankur Gupta, Dr. Saptarshi Mandal</t>
  </si>
  <si>
    <t>Awaiting publication/FER</t>
  </si>
  <si>
    <t>Low-cost microfluidic paper diagnostic assay for rapid bedside blood grouping and typing</t>
  </si>
  <si>
    <t>AI Healthcare &amp; Computer Vision</t>
  </si>
  <si>
    <t>Dr. Richa Singh, Dr. Mayank Vatsa, Dr. Kuldeep Singh, Misaal Khan</t>
  </si>
  <si>
    <t>Awaiting Publication/FER</t>
  </si>
  <si>
    <t>Multimodal graph neural network and vector retrieval engine for clinical malnutrition screening</t>
  </si>
  <si>
    <t>GRANTED PATENT (15-Dec-2025). Updated grant status confirmation for App 202511041154 (see S.No 12)</t>
  </si>
  <si>
    <t>Medical Industrial Design &amp; Neonatal Care</t>
  </si>
  <si>
    <t>Registered industrial design protection for compact emergency neonatal ambulance transport capsule</t>
  </si>
  <si>
    <t>Total</t>
  </si>
  <si>
    <t>Across 10+ Biomedical Disciplines</t>
  </si>
  <si>
    <t>4 Granted</t>
  </si>
  <si>
    <t>CENTRE FOR MEDICAL TECHNOLOGIES (IDRP) - SCHOLARLY RESEARCH OUTPUT</t>
  </si>
  <si>
    <t>Peer-Reviewed Journals, International Conferences &amp; Academic Book Chapters (Verified Responses)</t>
  </si>
  <si>
    <t>Student Scholar Name</t>
  </si>
  <si>
    <t>Roll No.</t>
  </si>
  <si>
    <t>Institute Email</t>
  </si>
  <si>
    <t>Journal Papers</t>
  </si>
  <si>
    <t>Conference Papers</t>
  </si>
  <si>
    <t>Book Chapters</t>
  </si>
  <si>
    <t>Total Scholarly Works</t>
  </si>
  <si>
    <t>Authorship Role</t>
  </si>
  <si>
    <t>Publication Venues &amp; Citation Outlets</t>
  </si>
  <si>
    <t>Publication Standing</t>
  </si>
  <si>
    <t>Submission Status</t>
  </si>
  <si>
    <t>Cross-Reference / Research Group</t>
  </si>
  <si>
    <t>m24im1005@iitj.ac.in</t>
  </si>
  <si>
    <t>Co-Author</t>
  </si>
  <si>
    <t>Initial Submission (Superseded by S.No 4)</t>
  </si>
  <si>
    <t>IDRP MedTech Masters Cohort; IEEE NANOMED 2025</t>
  </si>
  <si>
    <t>p24ihc001@iitj.ac.in</t>
  </si>
  <si>
    <t>First Author</t>
  </si>
  <si>
    <t>Active / Latest Record</t>
  </si>
  <si>
    <t>Neurobiology &amp; AI Neuroscience Research Group</t>
  </si>
  <si>
    <t>p23ihc003@iitj.ac.in</t>
  </si>
  <si>
    <t>Immunology &amp; Biomarker Investigation Lab</t>
  </si>
  <si>
    <t>Revised verified entry; 1 IEEE international conference publication</t>
  </si>
  <si>
    <t>sharma.108@iitj.ac.in</t>
  </si>
  <si>
    <t>Inventor in Patent App 202411033887 (Cartilage Reshaping Device)</t>
  </si>
  <si>
    <t>mazumder.3@iitj.ac.in</t>
  </si>
  <si>
    <t>Inventor in Patent App 202511113643 (Phototherapy Cancer Drug Delivery)</t>
  </si>
  <si>
    <t>vadera.1@iitj.ac.in</t>
  </si>
  <si>
    <t>Sensor instrumentation &amp; electrochemical sensing systems</t>
  </si>
  <si>
    <t>khan.9@iitj.ac.in</t>
  </si>
  <si>
    <t>Inventor in 2 Patents (Apps 202411076128 &amp; 202511127461 - Malnutrition AI)</t>
  </si>
  <si>
    <t>mishra.15@iitj.ac.in</t>
  </si>
  <si>
    <t>Plasma medicine and biomaterial treatment investigations</t>
  </si>
  <si>
    <t>harsha.2@iitj.ac.in</t>
  </si>
  <si>
    <t>Oral presentation on smart healthcare wearable textiles</t>
  </si>
  <si>
    <t>p24im0002@iitj.ac.in</t>
  </si>
  <si>
    <t>IDRP MedTech 2024 Batch Scholar</t>
  </si>
  <si>
    <t>abiha.1@iitj.ac.in</t>
  </si>
  <si>
    <t>Inventor in Patent App 202411028352 (Neonatal Bilirubin Monitoring)</t>
  </si>
  <si>
    <t>singh.117@iitj.ac.in</t>
  </si>
  <si>
    <t>Co-founder Visionence Tech; Inventor in 3 Patents (Apps 202211077085, 202411058458, 202511040403)</t>
  </si>
  <si>
    <t>midhuna.1@iitj.ac.in</t>
  </si>
  <si>
    <t>Biophysical Chemistry &amp; molecular interactions lab</t>
  </si>
  <si>
    <t>hiremath.1@iitj.ac.in</t>
  </si>
  <si>
    <t>High-impact nanomaterials &amp; therapeutic delivery research</t>
  </si>
  <si>
    <t>francis.1@iitj.ac.in</t>
  </si>
  <si>
    <t>Inventor in 2 Patents (Apps 202511040294 &amp; 202511081831 - Implants)</t>
  </si>
  <si>
    <t>samat.1@iitj.ac.in</t>
  </si>
  <si>
    <t>Antimicrobial medicinal chemistry &amp; drug synthesis</t>
  </si>
  <si>
    <t>All Logged Submissions Volume:</t>
  </si>
  <si>
    <t>Verified Output</t>
  </si>
  <si>
    <t>High-Impact Scopus/Web of Science Journals &amp; Prestigious Conferences</t>
  </si>
  <si>
    <t>Active</t>
  </si>
  <si>
    <t>Net</t>
  </si>
  <si>
    <t>16 Unique Scholars (Deduplicated)</t>
  </si>
  <si>
    <t>Net Verified Output:</t>
  </si>
  <si>
    <t>Verified Net</t>
  </si>
  <si>
    <t>Excludes superseded submission entry (Ritika Jajoriya initial response)</t>
  </si>
  <si>
    <t>Net Validated</t>
  </si>
  <si>
    <t>Average per Scholar</t>
  </si>
  <si>
    <t>Mean Output per Record:</t>
  </si>
  <si>
    <t>CENTRE FOR MEDICAL TECHNOLOGIES (IDRP) - ENTREPRENEURSHIP &amp; STARTUP ECOSYSTEM</t>
  </si>
  <si>
    <t>Incubated &amp; Pre-Incubatee Healthcare Ventures Supported at IIT Jodhpur &amp; AIIMS Jodhpur</t>
  </si>
  <si>
    <t>Startup Company Name</t>
  </si>
  <si>
    <t>Incubation Stage</t>
  </si>
  <si>
    <t>Founders &amp; Co-Founders</t>
  </si>
  <si>
    <t>Student / Scholar Lead</t>
  </si>
  <si>
    <t>IIT Jodhpur Faculty Involved</t>
  </si>
  <si>
    <t>Faculty Position in Company</t>
  </si>
  <si>
    <t>Agreement Date</t>
  </si>
  <si>
    <t>Core Innovation / Product</t>
  </si>
  <si>
    <t>Detailed Technology Description</t>
  </si>
  <si>
    <t>Associated Patent(s)</t>
  </si>
  <si>
    <t>Brochure Domain Spotlight</t>
  </si>
  <si>
    <t>Dr. Sumit Kalra (Faculty-Led Venture)</t>
  </si>
  <si>
    <t>Director</t>
  </si>
  <si>
    <t>Pathology at Home Diagnostic Kit</t>
  </si>
  <si>
    <t>Comprehensive remote home-diagnostics kit and IoT health-monitoring infrastructure for distributed patient care</t>
  </si>
  <si>
    <t>Digital Health &amp; Diagnostics</t>
  </si>
  <si>
    <t>Mr. Divesh Kumar Awasthi &amp; Dr. Varun Khandelwal</t>
  </si>
  <si>
    <t>Single Operator Single Hand Syringe for Ultrasound Guided Procedures</t>
  </si>
  <si>
    <t>Ergonomically engineered single-handed precision syringe allowing solo clinicians to aspirate and inject during ultrasound scanning</t>
  </si>
  <si>
    <t>Interventional Radiology &amp; Surgery</t>
  </si>
  <si>
    <t>Mr. Thilak Chakravarthy &amp; Mr. Harisharan Ramesh</t>
  </si>
  <si>
    <t>Mentor</t>
  </si>
  <si>
    <t>Electromechanical Reshaping (Cartilage Reshaping Device)</t>
  </si>
  <si>
    <t>Non-thermal electromechanical tissue remodelling platform for minimally invasive reconstructive rhinoplasty and ENT surgery</t>
  </si>
  <si>
    <t>Patent App 202411033887</t>
  </si>
  <si>
    <t>ENT &amp; Tissue Remodelling</t>
  </si>
  <si>
    <t>Dr. Ramkishore Jangid (PhD Scholar, IDRP)</t>
  </si>
  <si>
    <t>Endotracheal Tube with Oral Irrigator &amp; Multichannel Infusion Delivery</t>
  </si>
  <si>
    <t>Smart endotracheal medical device with built-in oral irrigation reducing ventilator-associated pneumonia (VAP) in ICU patients</t>
  </si>
  <si>
    <t>Patent Apps 202211060577 &amp; 202511108503</t>
  </si>
  <si>
    <t>Critical Care, ICU &amp; Drug Delivery</t>
  </si>
  <si>
    <t>3D Bioprinted Non-Animal Disease Models &amp; Modular Bioink Platforms</t>
  </si>
  <si>
    <t>Engineered 3D bioprinted humanized tissue and organoid test systems replacing animal testing for pharmaceutical toxicological evaluation</t>
  </si>
  <si>
    <t>Patent Apps 202511037139 &amp; 202511037986</t>
  </si>
  <si>
    <t>3D Bioprinting &amp; Drug Discovery</t>
  </si>
  <si>
    <t>Dr. Anup Kakwani (Masters MMT Alumnus)</t>
  </si>
  <si>
    <t>Lead Innovator</t>
  </si>
  <si>
    <t>iVac-Endo (Apical Negative Pressure Root Canal Irrigation System)</t>
  </si>
  <si>
    <t>Automated apical negative pressure irrigation instrument eliminating procedural extrusion risks in dental endodontic procedures</t>
  </si>
  <si>
    <t>Patent App 202211041593</t>
  </si>
  <si>
    <t>Dental Endodontics &amp; Devices</t>
  </si>
  <si>
    <t>Dr. Vishakha Pareek</t>
  </si>
  <si>
    <t>Patient-Derived 3D Organoid Platform Integrated with AI/ML Genomics</t>
  </si>
  <si>
    <t>Integrates patient-derived 3D tumor organoids with genomic AI/ML profiling to recommend tailored high-efficacy cancer chemotherapy regimens</t>
  </si>
  <si>
    <t>Precision Oncology &amp; AI Therapeutics</t>
  </si>
  <si>
    <t>Mr. Sambit Kumar Keshi &amp; Mr. Sarvar Singh</t>
  </si>
  <si>
    <t>Kavak Sensorium (Wearable Bedside Sepsis Diagnostic Sensor)</t>
  </si>
  <si>
    <t>Rapid response micro-sensor array delivering automated continuous monitoring of physiological sepsis markers</t>
  </si>
  <si>
    <t>Patent App 202511061615</t>
  </si>
  <si>
    <t>Wearable Diagnostics &amp; Sepsis Sensors</t>
  </si>
  <si>
    <t>Gajendra Singh (PhD Scholar, IDRP) &amp; Wilfred Kisku</t>
  </si>
  <si>
    <t>IntelloAdaptive CIS (Intelligent CMOS Image Sensors for Edge Computation)</t>
  </si>
  <si>
    <t>Next-generation CMOS intelligent image sensors embedded with edge neural inference for medical computer vision and ultrasound simulation</t>
  </si>
  <si>
    <t>Patent Apps 202211077085, 202411058458, 202511040403</t>
  </si>
  <si>
    <t>Edge AI Vision &amp; Medical Imaging</t>
  </si>
  <si>
    <t>Ajmal Jaleel &amp; Ashifa A</t>
  </si>
  <si>
    <t>Mattress Based Hygiene Management System (Bed Sore Prevention)</t>
  </si>
  <si>
    <t>Smart sensor-actuated hospital mattress platform preventing decubitus ulcers and automating inpatient pressure relief</t>
  </si>
  <si>
    <t>Patent App 202211060577</t>
  </si>
  <si>
    <t>Smart Hospital Furniture &amp; Assistive Tech</t>
  </si>
  <si>
    <t>Multi-founder multidisciplinary teams</t>
  </si>
  <si>
    <t>8 Directors, 2 Mentors</t>
  </si>
  <si>
    <t>6 Patent-Backed Startups</t>
  </si>
  <si>
    <t>Healthcare Deep-Tech Ecosystem</t>
  </si>
  <si>
    <t>CENTRE FOR MEDICAL TECHNOLOGIES (IDRP) - FACULTY &amp; SCHOLAR DIRECTORY</t>
  </si>
  <si>
    <t>Cross-Functional Directory Linking Key Researchers to Associated Patents, Startups &amp; Publications</t>
  </si>
  <si>
    <t>Investigator / Scholar Name</t>
  </si>
  <si>
    <t>Institutional Affiliation</t>
  </si>
  <si>
    <t>Primary Role / Designation</t>
  </si>
  <si>
    <t>Patents (Count)</t>
  </si>
  <si>
    <t>Associated Patent Reference(s)</t>
  </si>
  <si>
    <t>Startups (Count)</t>
  </si>
  <si>
    <t>Associated Startup(s) &amp; Role</t>
  </si>
  <si>
    <t>Publications (Count)</t>
  </si>
  <si>
    <t>Core Research &amp; Innovation Domains</t>
  </si>
  <si>
    <t>Prof. Ajay Agarwal</t>
  </si>
  <si>
    <t>IIT Jodhpur (Dept of Electrical Engineering)</t>
  </si>
  <si>
    <t>Professor &amp; Senior Investigator</t>
  </si>
  <si>
    <t>App 202411033887 (Cartilage Reshaping), App 202511061615 (Sepsis Device)</t>
  </si>
  <si>
    <t>Caldor Health (Mentor), Sarbit Innovations (Director)</t>
  </si>
  <si>
    <t>Bio-MEMS, Wearable Sensors, Point-of-Care Diagnostics, Surgical Devices</t>
  </si>
  <si>
    <t>IIT Jodhpur (Dept of Bioscience &amp; Bioengineering)</t>
  </si>
  <si>
    <t>Associate Professor</t>
  </si>
  <si>
    <t>Apps 202511037139, 202511037986 (Bioink), App 202511040294 (Graft), App 202511081831 (Plates)</t>
  </si>
  <si>
    <t>Cellverse Pvt. Ltd. (Director &amp; Co-Founder)</t>
  </si>
  <si>
    <t>3D Bioprinting, Regenerative Medicine, Tissue Engineering, Disease Models</t>
  </si>
  <si>
    <t>Dr. Deepak Mishra</t>
  </si>
  <si>
    <t>IIT Jodhpur (Dept of Computer Science &amp; Engineering)</t>
  </si>
  <si>
    <t>App 202211077085 (Echocardiography), App 202411058458 (Data Sync), App 202511040403 (Simulator)</t>
  </si>
  <si>
    <t>Visionence Tech Pvt. Ltd. (Director &amp; Co-Founder)</t>
  </si>
  <si>
    <t>Computer Vision, Medical Imaging, AI Simulation, Edge Image Sensors</t>
  </si>
  <si>
    <t>Prof. Ankur Gupta</t>
  </si>
  <si>
    <t>IIT Jodhpur (Dept of Mechanical Engineering)</t>
  </si>
  <si>
    <t>Apps 202511041154 (Granted), 202511046430 (Granted), 202511064909 (Granted), 202511072465, 202511116826</t>
  </si>
  <si>
    <t>Microfluidics, Paper-Based Diagnostics, Biosensors, Hematology Assays</t>
  </si>
  <si>
    <t>Dr. Saptarshi Mandal</t>
  </si>
  <si>
    <t>AIIMS Jodhpur (Dept of Transfusion Medicine)</t>
  </si>
  <si>
    <t>Additional Professor</t>
  </si>
  <si>
    <t>App 202411028352 (Bilirubin), Apps 202511041154, 202511046430, 202511064909, 202511072465, 202511116826</t>
  </si>
  <si>
    <t>Transfusion Medicine, Point-of-Care Blood Testing, Neonatal Bilirubin, Biosensors</t>
  </si>
  <si>
    <t>Assistant Professor</t>
  </si>
  <si>
    <t>App 202211060577 (Bed Sore Preventing Mattress)</t>
  </si>
  <si>
    <t>Medvocare Pvt. Ltd. (Director &amp; Co-Founder)</t>
  </si>
  <si>
    <t>Thermal Fluids, Smart Mattresses, ICU Patient Care Technology</t>
  </si>
  <si>
    <t>Dr. Jaiveer Singh</t>
  </si>
  <si>
    <t>IIT Jodhpur (Dept of Metallurgical &amp; Materials Engg)</t>
  </si>
  <si>
    <t>App 202211041593 (Irrigation), App 202511040294, App 202511045522 (Laparoscopy), App 202511081831</t>
  </si>
  <si>
    <t>Biomaterials, Surgical Metallurgy, Laparoscopic Tooling, Implants</t>
  </si>
  <si>
    <t>App 202211077085 (Robot Echocardiography), App 202411058458 (Data Sync)</t>
  </si>
  <si>
    <t>ShilpinMed Technologies (Mentor)</t>
  </si>
  <si>
    <t>Medical Robotics, Surgical Automation, Hospital Assistive Hardware</t>
  </si>
  <si>
    <t>Novealthy Innovations Pvt. Ltd. (Director &amp; Founder)</t>
  </si>
  <si>
    <t>Digital Health, IoT Telemedicine, Distributed Point-of-Care Diagnostics</t>
  </si>
  <si>
    <t>Healyantra Medical Technologies (Director)</t>
  </si>
  <si>
    <t>Interventional Medical Tools, Ergonomic Surgical Syringes, Ultrasound Guidance</t>
  </si>
  <si>
    <t>Dr. Siddharth Srivatsava</t>
  </si>
  <si>
    <t>Oncosphera Pvt. Ltd. (Director &amp; Co-Founder)</t>
  </si>
  <si>
    <t>Computational Oncology, Genomic Profiling, 3D Organoid Cancer Modeling</t>
  </si>
  <si>
    <t>Dr. Sushmita Jha</t>
  </si>
  <si>
    <t>Professor</t>
  </si>
  <si>
    <t>Cancer Biology, Neuroinflammation, Precision Oncology Therapeutics</t>
  </si>
  <si>
    <t>Dr. Ankita Chugh</t>
  </si>
  <si>
    <t>AIIMS Jodhpur (Dept of Dentistry)</t>
  </si>
  <si>
    <t>Professor &amp; Head</t>
  </si>
  <si>
    <t>App 202511040294 (Graft), App 202511081831 (Miniplates), App 202511105376 (Granted Retractor)</t>
  </si>
  <si>
    <t>Dentistry, Intraoral Surgery, Craniofacial Fixation Miniplates, Bone Grafts</t>
  </si>
  <si>
    <t>Dr. Amit Goyal</t>
  </si>
  <si>
    <t>AIIMS Jodhpur (Dept of Otorhinolaryngology - ENT)</t>
  </si>
  <si>
    <t>App 202411033887 (Cartilage), App 202511105376 (Granted Retractor), App 202511108503 (Infusion)</t>
  </si>
  <si>
    <t>ENT Surgery, Airway Management, Intraoral Devices, Infusion Automation</t>
  </si>
  <si>
    <t>Dr. Neeraj Gupta</t>
  </si>
  <si>
    <t>AIIMS Jodhpur (Dept of Neonatology / Pediatrics)</t>
  </si>
  <si>
    <t>App 202511061615 (Sepsis), App 202511107337 (Thermal), App 479261-001 (Design Incubator)</t>
  </si>
  <si>
    <t>Neonatal Intensive Care, Preterm Infant Thermal Regulation, Pediatric Sepsis</t>
  </si>
  <si>
    <t>Dr. Pushpinder Singh Khera</t>
  </si>
  <si>
    <t>AIIMS Jodhpur (Dept of Radiology)</t>
  </si>
  <si>
    <t>App 202211077085 (Robot Echo), App 202411058458 (Data Sync), App 202511040403 (Simulator)</t>
  </si>
  <si>
    <t>Interventional Radiology, Ultrasound Simulation, Cardiac Imaging</t>
  </si>
  <si>
    <t>IIT Jodhpur &amp; AIIMS Jodhpur (Joint IDRP)</t>
  </si>
  <si>
    <t>Senior PhD Research Scholar &amp; Entrepreneur</t>
  </si>
  <si>
    <t>Apps 202211077085, 202411058458, 202511040403</t>
  </si>
  <si>
    <t>Visionence Tech Pvt. Ltd. (Co-Founder)</t>
  </si>
  <si>
    <t>Medical Robotics, Echocardiography, Ultrasound Simulation, Edge AI Vision</t>
  </si>
  <si>
    <t>Saloni Singhal</t>
  </si>
  <si>
    <t>IIT Jodhpur (IDRP Medical Technologies)</t>
  </si>
  <si>
    <t>Masters-PhD Research Scholar</t>
  </si>
  <si>
    <t>3 GRANTED PATENTS: Point-of-Care Biosensors, Hematocrit Assays, Paper Microfluidics</t>
  </si>
  <si>
    <t>Dr. Kanika Singroha</t>
  </si>
  <si>
    <t>PhD Scholar &amp; Startup Founder</t>
  </si>
  <si>
    <t>Apps 202511037139 &amp; 202511037986 (Modular Bioinks &amp; Cell Homogenizer)</t>
  </si>
  <si>
    <t>3D Bioprinting, Bioink Formulations, Non-Animal Toxicology Models</t>
  </si>
  <si>
    <t>IIT Jodhpur &amp; AIIMS Jodhpur (Joint MMT Alumnus)</t>
  </si>
  <si>
    <t>Masters Alumnus &amp; Dental Surgeon</t>
  </si>
  <si>
    <t>App 202211041593 (Apical Negative Pressure Root Canal System)</t>
  </si>
  <si>
    <t>NxGen Healtech Pvt. Ltd. (Founder)</t>
  </si>
  <si>
    <t>Endodontics, Root Canal Irrigation Devices, Dental Surgical Tech</t>
  </si>
  <si>
    <t>AIIMS Jodhpur &amp; IIT Jodhpur (Joint IDRP)</t>
  </si>
  <si>
    <t>PhD Research Scholar</t>
  </si>
  <si>
    <t>Apps 202411076128 &amp; 202511127461 (Malnutrition AI Assessment)</t>
  </si>
  <si>
    <t>Pediatric AI, Graph Neural Networks, Computer Vision in Global Health</t>
  </si>
  <si>
    <t>App 202511113643 (Phototherapy Drug Delivery)</t>
  </si>
  <si>
    <t>Biomaterials, Cancer Nanomedicine, Chemophototherapy, Nanotechnology</t>
  </si>
  <si>
    <t>Apps 202511040294 (Bone Graft) &amp; 202511081831 (Craniofacial Miniplates)</t>
  </si>
  <si>
    <t>Polymer Composites, Biocompatible Miniplates, Osteogenic Bone Grafts</t>
  </si>
  <si>
    <t>App 202411028352 (Neonatal Bilirubin Monitoring)</t>
  </si>
  <si>
    <t>Neonatal Pediatrics, Medical Engineering &amp; Physics, Scholarly Book Chapters</t>
  </si>
  <si>
    <t>Plasma Physics, Sustainable Food Technology, Biomaterial Radiation Effects</t>
  </si>
  <si>
    <t>Ashwin C R</t>
  </si>
  <si>
    <t>MedTech Graduate Scholar</t>
  </si>
  <si>
    <t>App 202511105376 (Granted Intraoral Retracting Device)</t>
  </si>
  <si>
    <t>GRANTED PATENT: Intraoral Surgical Devices, Dental Assistive Instrumentation</t>
  </si>
  <si>
    <t>Faculty &amp; Student Leaders</t>
  </si>
  <si>
    <t>28 Total Patent Filings</t>
  </si>
  <si>
    <t>10 Incubation Companies</t>
  </si>
  <si>
    <t>Multidisciplinary Medical Technology Innovation Ecosystem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</si>
</sst>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0.0"/>
  </numFmts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i/>
      <sz val="9.5"/>
      <color rgb="FF94A3B8"/>
      <name val="Segoe UI"/>
    </font>
    <font>
      <b/>
      <sz val="8.5"/>
      <color rgb="FF475569"/>
      <name val="Segoe UI"/>
    </font>
    <font>
      <b/>
      <sz val="20"/>
      <color rgb="FF1E3A8A"/>
      <name val="Segoe UI"/>
    </font>
    <font>
      <i/>
      <sz val="7.5"/>
      <color rgb="FF64748B"/>
      <name val="Segoe UI"/>
    </font>
    <font>
      <b/>
      <sz val="10"/>
      <color rgb="FFFFFFFF"/>
      <name val="Segoe UI"/>
    </font>
    <font>
      <b/>
      <sz val="9"/>
      <color rgb="FFFFFFFF"/>
      <name val="Segoe UI"/>
    </font>
    <font>
      <sz val="9"/>
      <color rgb="FF1E293B"/>
      <name val="Segoe UI"/>
    </font>
    <font>
      <b/>
      <sz val="9.5"/>
      <color rgb="FF0F172A"/>
      <name val="Segoe UI"/>
    </font>
    <font>
      <b/>
      <sz val="8.5"/>
      <color rgb="FF166534"/>
      <name val="Segoe UI"/>
    </font>
    <font>
      <b/>
      <sz val="8.5"/>
      <color rgb="FF92400E"/>
      <name val="Segoe UI"/>
    </font>
    <font>
      <b/>
      <sz val="8.5"/>
      <color rgb="FF3730A3"/>
      <name val="Segoe UI"/>
    </font>
    <font>
      <b/>
      <sz val="8.5"/>
      <color rgb="FF334155"/>
      <name val="Segoe UI"/>
    </font>
    <font>
      <b/>
      <sz val="9"/>
      <color rgb="FF1E293B"/>
      <name val="Segoe UI"/>
    </font>
    <font>
      <b/>
      <sz val="9"/>
      <color rgb="FF0F172A"/>
      <name val="Consolas"/>
    </font>
    <font>
      <b/>
      <sz val="8.5"/>
      <color rgb="FF0369A1"/>
      <name val="Segoe UI"/>
    </font>
    <font>
      <i/>
      <sz val="8.5"/>
      <color rgb="FF6B7280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1D4ED8"/>
        <bgColor rgb="FF1D4ED8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EEF2FF"/>
        <bgColor rgb="FFEEF2FF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  <fill>
      <patternFill patternType="solid">
        <fgColor rgb="FFE0F2FE"/>
        <bgColor rgb="FFE0F2FE"/>
      </patternFill>
    </fill>
    <fill>
      <patternFill patternType="solid">
        <fgColor rgb="FFF3F4F6"/>
        <bgColor rgb="FFF3F4F6"/>
      </patternFill>
    </fill>
  </fills>
  <borders count="10">
    <border>
      <left/>
      <right/>
      <top/>
      <bottom/>
      <diagonal/>
    </border>
    <border>
      <left style="medium">
        <color rgb="FF64748B"/>
      </left>
      <right/>
      <top style="medium">
        <color rgb="FF64748B"/>
      </top>
      <bottom/>
      <diagonal/>
    </border>
    <border>
      <left/>
      <right style="medium">
        <color rgb="FF64748B"/>
      </right>
      <top style="medium">
        <color rgb="FF64748B"/>
      </top>
      <bottom/>
      <diagonal/>
    </border>
    <border>
      <left style="medium">
        <color rgb="FF64748B"/>
      </left>
      <right/>
      <top/>
      <bottom/>
      <diagonal/>
    </border>
    <border>
      <left/>
      <right style="medium">
        <color rgb="FF64748B"/>
      </right>
      <top/>
      <bottom/>
      <diagonal/>
    </border>
    <border>
      <left style="medium">
        <color rgb="FF64748B"/>
      </left>
      <right/>
      <top/>
      <bottom style="medium">
        <color rgb="FF64748B"/>
      </bottom>
      <diagonal/>
    </border>
    <border>
      <left/>
      <right style="medium">
        <color rgb="FF64748B"/>
      </right>
      <top/>
      <bottom style="medium">
        <color rgb="FF64748B"/>
      </bottom>
      <diagonal/>
    </border>
    <border>
      <left style="thin">
        <color rgb="FFCBD5E1"/>
      </left>
      <right style="thin">
        <color rgb="FFCBD5E1"/>
      </right>
      <top style="medium">
        <color rgb="FF64748B"/>
      </top>
      <bottom style="medium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3A8A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7" fillId="6" borderId="7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left" vertical="center"/>
    </xf>
    <xf numFmtId="3" fontId="8" fillId="7" borderId="8" xfId="0" applyNumberFormat="1" applyFont="1" applyFill="1" applyBorder="1" applyAlignment="1">
      <alignment horizontal="center" vertical="center"/>
    </xf>
    <xf numFmtId="164" fontId="8" fillId="7" borderId="8" xfId="0" applyNumberFormat="1" applyFont="1" applyFill="1" applyBorder="1" applyAlignment="1">
      <alignment horizontal="right" vertical="center"/>
    </xf>
    <xf numFmtId="0" fontId="8" fillId="7" borderId="8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left" vertical="center"/>
    </xf>
    <xf numFmtId="3" fontId="8" fillId="8" borderId="8" xfId="0" applyNumberFormat="1" applyFont="1" applyFill="1" applyBorder="1" applyAlignment="1">
      <alignment horizontal="center" vertical="center"/>
    </xf>
    <xf numFmtId="164" fontId="8" fillId="8" borderId="8" xfId="0" applyNumberFormat="1" applyFont="1" applyFill="1" applyBorder="1" applyAlignment="1">
      <alignment horizontal="right" vertical="center"/>
    </xf>
    <xf numFmtId="0" fontId="8" fillId="8" borderId="8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49" fontId="8" fillId="7" borderId="8" xfId="0" applyNumberFormat="1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left" vertical="center"/>
    </xf>
    <xf numFmtId="3" fontId="9" fillId="9" borderId="9" xfId="0" applyNumberFormat="1" applyFont="1" applyFill="1" applyBorder="1" applyAlignment="1">
      <alignment horizontal="center" vertical="center"/>
    </xf>
    <xf numFmtId="164" fontId="9" fillId="9" borderId="9" xfId="0" applyNumberFormat="1" applyFont="1" applyFill="1" applyBorder="1" applyAlignment="1">
      <alignment horizontal="right" vertical="center"/>
    </xf>
    <xf numFmtId="0" fontId="9" fillId="9" borderId="9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left" vertical="center"/>
    </xf>
    <xf numFmtId="0" fontId="8" fillId="7" borderId="8" xfId="0" applyFont="1" applyFill="1" applyBorder="1" applyAlignment="1">
      <alignment horizontal="left" vertical="center" wrapText="1"/>
    </xf>
    <xf numFmtId="0" fontId="14" fillId="8" borderId="8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left" vertical="center" wrapText="1"/>
    </xf>
    <xf numFmtId="0" fontId="15" fillId="7" borderId="8" xfId="0" applyFont="1" applyFill="1" applyBorder="1" applyAlignment="1">
      <alignment horizontal="center" vertical="center"/>
    </xf>
    <xf numFmtId="165" fontId="8" fillId="7" borderId="8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165" fontId="8" fillId="8" borderId="8" xfId="0" applyNumberFormat="1" applyFont="1" applyFill="1" applyBorder="1" applyAlignment="1">
      <alignment horizontal="center" vertical="center"/>
    </xf>
    <xf numFmtId="0" fontId="16" fillId="13" borderId="8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left" vertical="center"/>
    </xf>
    <xf numFmtId="0" fontId="0" fillId="9" borderId="9" xfId="0" applyFill="1" applyBorder="1"/>
    <xf numFmtId="3" fontId="14" fillId="7" borderId="8" xfId="0" applyNumberFormat="1" applyFont="1" applyFill="1" applyBorder="1" applyAlignment="1">
      <alignment horizontal="center" vertical="center"/>
    </xf>
    <xf numFmtId="3" fontId="14" fillId="8" borderId="8" xfId="0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right" vertical="center"/>
    </xf>
    <xf numFmtId="0" fontId="0" fillId="10" borderId="8" xfId="0" applyFill="1" applyBorder="1" applyAlignment="1">
      <alignment horizontal="center" vertical="center"/>
    </xf>
    <xf numFmtId="0" fontId="0" fillId="10" borderId="8" xfId="0" applyFill="1" applyBorder="1" applyAlignment="1">
      <alignment horizontal="left" vertical="center"/>
    </xf>
    <xf numFmtId="0" fontId="0" fillId="10" borderId="8" xfId="0" applyFill="1" applyBorder="1"/>
    <xf numFmtId="0" fontId="0" fillId="10" borderId="8" xfId="0" applyFill="1" applyBorder="1" applyAlignment="1">
      <alignment horizontal="right" vertical="center"/>
    </xf>
    <xf numFmtId="3" fontId="9" fillId="10" borderId="8" xfId="0" applyNumberFormat="1" applyFont="1" applyFill="1" applyBorder="1" applyAlignment="1">
      <alignment horizontal="center" vertical="center"/>
    </xf>
    <xf numFmtId="0" fontId="9" fillId="4" borderId="8" xfId="0" applyFont="1" applyFill="1" applyBorder="1"/>
    <xf numFmtId="0" fontId="9" fillId="4" borderId="8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right" vertical="center"/>
    </xf>
    <xf numFmtId="166" fontId="9" fillId="4" borderId="8" xfId="0" applyNumberFormat="1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8" fillId="7" borderId="8" xfId="0" applyFont="1" applyFill="1" applyBorder="1" applyAlignment="1">
      <alignment horizontal="left" vertical="center" wrapText="1"/>
    </xf>
    <xf numFmtId="0" fontId="8" fillId="7" borderId="8" xfId="0" applyFont="1" applyFill="1" applyBorder="1"/>
    <xf numFmtId="0" fontId="4" fillId="4" borderId="3" xfId="0" applyFont="1" applyFill="1" applyBorder="1" applyAlignment="1">
      <alignment horizontal="center" vertical="center"/>
    </xf>
    <xf numFmtId="0" fontId="0" fillId="0" borderId="4" xfId="0" applyBorder="1"/>
    <xf numFmtId="0" fontId="8" fillId="8" borderId="8" xfId="0" applyFont="1" applyFill="1" applyBorder="1" applyAlignment="1">
      <alignment horizontal="left" vertical="center" wrapText="1"/>
    </xf>
    <xf numFmtId="0" fontId="8" fillId="8" borderId="8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0" fillId="0" borderId="6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sqref="A1:K1"/>
    </sheetView>
  </sheetViews>
  <sheetFormatPr defaultRowHeight="14.6" x14ac:dyDescent="0.4"/>
  <cols>
    <col min="1" max="1" width="4" customWidth="1"/>
    <col min="2" max="2" width="24" customWidth="1"/>
    <col min="3" max="3" width="28" customWidth="1"/>
    <col min="4" max="5" width="16" customWidth="1"/>
    <col min="6" max="6" width="6" customWidth="1"/>
    <col min="7" max="7" width="26" customWidth="1"/>
    <col min="8" max="8" width="38" customWidth="1"/>
    <col min="9" max="9" width="16" customWidth="1"/>
    <col min="10" max="10" width="20" customWidth="1"/>
    <col min="11" max="11" width="18" customWidth="1"/>
  </cols>
  <sheetData>
    <row r="1" spans="1:11" ht="36" customHeight="1" x14ac:dyDescent="0.4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0.05" customHeight="1" x14ac:dyDescent="0.4">
      <c r="A2" s="66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4" spans="1:11" ht="18" customHeight="1" x14ac:dyDescent="0.4">
      <c r="B4" s="53" t="s">
        <v>2</v>
      </c>
      <c r="C4" s="54"/>
      <c r="D4" s="53" t="s">
        <v>3</v>
      </c>
      <c r="E4" s="54"/>
      <c r="F4" s="53" t="s">
        <v>4</v>
      </c>
      <c r="G4" s="54"/>
      <c r="H4" s="53" t="s">
        <v>5</v>
      </c>
      <c r="I4" s="54"/>
      <c r="J4" s="53" t="s">
        <v>6</v>
      </c>
      <c r="K4" s="54"/>
    </row>
    <row r="5" spans="1:11" ht="32.049999999999997" customHeight="1" x14ac:dyDescent="0.4">
      <c r="B5" s="57">
        <f>COUNTA('Patents &amp; IPR'!B6:B33)</f>
        <v>28</v>
      </c>
      <c r="C5" s="58"/>
      <c r="D5" s="57">
        <f>COUNTIF('Patents &amp; IPR'!L6:L33, "Granted")</f>
        <v>4</v>
      </c>
      <c r="E5" s="58"/>
      <c r="F5" s="57">
        <f>COUNTA('Startups &amp; Incubation'!B6:B15)</f>
        <v>10</v>
      </c>
      <c r="G5" s="58"/>
      <c r="H5" s="57">
        <f>SUMIF('Student Publications'!L6:L22, "Active / Latest Record", 'Student Publications'!H6:H22)</f>
        <v>64</v>
      </c>
      <c r="I5" s="58"/>
      <c r="J5" s="57">
        <f>COUNTA('People &amp; Directory'!B6:B31)</f>
        <v>26</v>
      </c>
      <c r="K5" s="58"/>
    </row>
    <row r="6" spans="1:11" ht="18" customHeight="1" x14ac:dyDescent="0.4">
      <c r="B6" s="61" t="s">
        <v>7</v>
      </c>
      <c r="C6" s="62"/>
      <c r="D6" s="61" t="s">
        <v>8</v>
      </c>
      <c r="E6" s="62"/>
      <c r="F6" s="61" t="s">
        <v>9</v>
      </c>
      <c r="G6" s="62"/>
      <c r="H6" s="61" t="s">
        <v>10</v>
      </c>
      <c r="I6" s="62"/>
      <c r="J6" s="61" t="s">
        <v>11</v>
      </c>
      <c r="K6" s="62"/>
    </row>
    <row r="8" spans="1:11" ht="24" customHeight="1" x14ac:dyDescent="0.4">
      <c r="B8" s="65" t="s">
        <v>12</v>
      </c>
      <c r="C8" s="64"/>
      <c r="D8" s="64"/>
      <c r="E8" s="64"/>
      <c r="G8" s="65" t="s">
        <v>13</v>
      </c>
      <c r="H8" s="64"/>
      <c r="I8" s="64"/>
      <c r="J8" s="64"/>
      <c r="K8" s="64"/>
    </row>
    <row r="9" spans="1:11" ht="22" customHeight="1" x14ac:dyDescent="0.4">
      <c r="B9" s="1" t="s">
        <v>14</v>
      </c>
      <c r="C9" s="1" t="s">
        <v>15</v>
      </c>
      <c r="D9" s="1" t="s">
        <v>16</v>
      </c>
      <c r="E9" s="1" t="s">
        <v>17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22</v>
      </c>
    </row>
    <row r="10" spans="1:11" ht="19" customHeight="1" x14ac:dyDescent="0.4">
      <c r="B10" s="2" t="s">
        <v>23</v>
      </c>
      <c r="C10" s="2" t="s">
        <v>24</v>
      </c>
      <c r="D10" s="3">
        <f>COUNTIF('Patents &amp; IPR'!L6:L33, "Granted")</f>
        <v>4</v>
      </c>
      <c r="E10" s="4">
        <f>D10/D17</f>
        <v>0.14285714285714285</v>
      </c>
      <c r="G10" s="2" t="s">
        <v>25</v>
      </c>
      <c r="H10" s="2" t="s">
        <v>26</v>
      </c>
      <c r="I10" s="3">
        <f>COUNTIF('Startups &amp; Incubation'!C6:C15, "Incubated")</f>
        <v>7</v>
      </c>
      <c r="J10" s="5" t="s">
        <v>27</v>
      </c>
      <c r="K10" s="6" t="s">
        <v>28</v>
      </c>
    </row>
    <row r="11" spans="1:11" ht="19" customHeight="1" x14ac:dyDescent="0.4">
      <c r="B11" s="7" t="s">
        <v>29</v>
      </c>
      <c r="C11" s="7" t="s">
        <v>30</v>
      </c>
      <c r="D11" s="8">
        <f>COUNTIF('Patents &amp; IPR'!L6:L33, "Under Examination (FER)")</f>
        <v>7</v>
      </c>
      <c r="E11" s="9">
        <f>D11/D17</f>
        <v>0.25</v>
      </c>
      <c r="G11" s="7" t="s">
        <v>31</v>
      </c>
      <c r="H11" s="7" t="s">
        <v>32</v>
      </c>
      <c r="I11" s="8">
        <f>COUNTIF('Startups &amp; Incubation'!C6:C15, "Pre-Incubatee")</f>
        <v>3</v>
      </c>
      <c r="J11" s="10" t="s">
        <v>33</v>
      </c>
      <c r="K11" s="11" t="s">
        <v>34</v>
      </c>
    </row>
    <row r="12" spans="1:11" ht="19" customHeight="1" x14ac:dyDescent="0.4">
      <c r="B12" s="2" t="s">
        <v>35</v>
      </c>
      <c r="C12" s="2" t="s">
        <v>36</v>
      </c>
      <c r="D12" s="3">
        <f>COUNTIF('Patents &amp; IPR'!L6:L33, "Under Amended Examination")</f>
        <v>3</v>
      </c>
      <c r="E12" s="4">
        <f>D12/D17</f>
        <v>0.10714285714285714</v>
      </c>
      <c r="G12" s="2" t="s">
        <v>37</v>
      </c>
      <c r="H12" s="2" t="s">
        <v>38</v>
      </c>
      <c r="I12" s="12" t="s">
        <v>39</v>
      </c>
      <c r="J12" s="5" t="s">
        <v>40</v>
      </c>
      <c r="K12" s="13" t="s">
        <v>41</v>
      </c>
    </row>
    <row r="13" spans="1:11" ht="19" customHeight="1" x14ac:dyDescent="0.4">
      <c r="B13" s="7" t="s">
        <v>42</v>
      </c>
      <c r="C13" s="7" t="s">
        <v>43</v>
      </c>
      <c r="D13" s="8">
        <f>COUNTIF('Patents &amp; IPR'!L6:L33, "Awaiting CS (First Action)")</f>
        <v>3</v>
      </c>
      <c r="E13" s="9">
        <f>D13/D17</f>
        <v>0.10714285714285714</v>
      </c>
      <c r="G13" s="7" t="s">
        <v>44</v>
      </c>
      <c r="H13" s="7" t="s">
        <v>45</v>
      </c>
      <c r="I13" s="14" t="s">
        <v>46</v>
      </c>
      <c r="J13" s="10" t="s">
        <v>47</v>
      </c>
      <c r="K13" s="6" t="s">
        <v>48</v>
      </c>
    </row>
    <row r="14" spans="1:11" ht="19" customHeight="1" x14ac:dyDescent="0.4">
      <c r="B14" s="2" t="s">
        <v>49</v>
      </c>
      <c r="C14" s="2" t="s">
        <v>50</v>
      </c>
      <c r="D14" s="3">
        <f>COUNTIF('Patents &amp; IPR'!L6:L33, "Published") + COUNTIF('Patents &amp; IPR'!L6:L33, "Awaiting FER") + COUNTIF('Patents &amp; IPR'!L6:L33, "Awaiting Publication*")</f>
        <v>7</v>
      </c>
      <c r="E14" s="4">
        <f>D14/D17</f>
        <v>0.25</v>
      </c>
      <c r="G14" s="2" t="s">
        <v>51</v>
      </c>
      <c r="H14" s="2" t="s">
        <v>52</v>
      </c>
      <c r="I14" s="12" t="s">
        <v>53</v>
      </c>
      <c r="J14" s="5" t="s">
        <v>54</v>
      </c>
      <c r="K14" s="13" t="s">
        <v>55</v>
      </c>
    </row>
    <row r="15" spans="1:11" ht="19" customHeight="1" x14ac:dyDescent="0.4">
      <c r="B15" s="7" t="s">
        <v>56</v>
      </c>
      <c r="C15" s="7" t="s">
        <v>57</v>
      </c>
      <c r="D15" s="8">
        <f>COUNTIF('Patents &amp; IPR'!L6:L33, "Provisional Filed") + COUNTIF('Patents &amp; IPR'!L6:L33, "*Design*") + COUNTIF('Patents &amp; IPR'!L6:L33, "Application Filed")</f>
        <v>3</v>
      </c>
      <c r="E15" s="9">
        <f>D15/D17</f>
        <v>0.10714285714285714</v>
      </c>
      <c r="G15" s="7" t="s">
        <v>58</v>
      </c>
      <c r="H15" s="7" t="s">
        <v>59</v>
      </c>
      <c r="I15" s="14" t="s">
        <v>60</v>
      </c>
      <c r="J15" s="10" t="s">
        <v>61</v>
      </c>
      <c r="K15" s="13" t="s">
        <v>62</v>
      </c>
    </row>
    <row r="16" spans="1:11" ht="19" customHeight="1" x14ac:dyDescent="0.4">
      <c r="B16" s="2" t="s">
        <v>63</v>
      </c>
      <c r="C16" s="2" t="s">
        <v>64</v>
      </c>
      <c r="D16" s="3">
        <f>COUNTIF('Patents &amp; IPR'!L6:L33, "*Duplicate*")</f>
        <v>1</v>
      </c>
      <c r="E16" s="4">
        <f>D16/D17</f>
        <v>3.5714285714285712E-2</v>
      </c>
      <c r="G16" s="2" t="s">
        <v>65</v>
      </c>
      <c r="H16" s="2" t="s">
        <v>66</v>
      </c>
      <c r="I16" s="12" t="s">
        <v>67</v>
      </c>
      <c r="J16" s="5" t="s">
        <v>68</v>
      </c>
      <c r="K16" s="15" t="s">
        <v>69</v>
      </c>
    </row>
    <row r="17" spans="2:11" ht="22" customHeight="1" x14ac:dyDescent="0.4">
      <c r="B17" s="16" t="s">
        <v>70</v>
      </c>
      <c r="C17" s="16" t="s">
        <v>71</v>
      </c>
      <c r="D17" s="17">
        <f>SUM(D10:D16)</f>
        <v>28</v>
      </c>
      <c r="E17" s="18">
        <f>SUM(E10:E16)</f>
        <v>0.99999999999999989</v>
      </c>
      <c r="G17" s="16" t="s">
        <v>72</v>
      </c>
      <c r="H17" s="16" t="s">
        <v>73</v>
      </c>
      <c r="I17" s="17">
        <f>I10+I11+I16</f>
        <v>74</v>
      </c>
      <c r="J17" s="19" t="s">
        <v>74</v>
      </c>
      <c r="K17" s="19" t="s">
        <v>75</v>
      </c>
    </row>
    <row r="19" spans="2:11" ht="24" customHeight="1" x14ac:dyDescent="0.4">
      <c r="B19" s="65" t="s">
        <v>76</v>
      </c>
      <c r="C19" s="64"/>
      <c r="D19" s="64"/>
      <c r="E19" s="64"/>
      <c r="F19" s="64"/>
      <c r="G19" s="64"/>
      <c r="H19" s="64"/>
      <c r="I19" s="64"/>
      <c r="J19" s="64"/>
      <c r="K19" s="64"/>
    </row>
    <row r="20" spans="2:11" ht="22" customHeight="1" x14ac:dyDescent="0.5">
      <c r="B20" s="20" t="s">
        <v>77</v>
      </c>
      <c r="C20" s="67" t="s">
        <v>78</v>
      </c>
      <c r="D20" s="68"/>
      <c r="E20" s="68"/>
      <c r="F20" s="20" t="s">
        <v>79</v>
      </c>
      <c r="G20" s="67" t="s">
        <v>80</v>
      </c>
      <c r="H20" s="68"/>
      <c r="I20" s="68"/>
      <c r="J20" s="68"/>
      <c r="K20" s="68"/>
    </row>
    <row r="21" spans="2:11" ht="24" customHeight="1" x14ac:dyDescent="0.5">
      <c r="B21" s="21" t="s">
        <v>81</v>
      </c>
      <c r="C21" s="55" t="s">
        <v>82</v>
      </c>
      <c r="D21" s="56"/>
      <c r="E21" s="56"/>
      <c r="F21" s="5" t="s">
        <v>83</v>
      </c>
      <c r="G21" s="55" t="s">
        <v>84</v>
      </c>
      <c r="H21" s="56"/>
      <c r="I21" s="56"/>
      <c r="J21" s="56"/>
      <c r="K21" s="56"/>
    </row>
    <row r="22" spans="2:11" ht="24" customHeight="1" x14ac:dyDescent="0.5">
      <c r="B22" s="23" t="s">
        <v>85</v>
      </c>
      <c r="C22" s="59" t="s">
        <v>86</v>
      </c>
      <c r="D22" s="60"/>
      <c r="E22" s="60"/>
      <c r="F22" s="10" t="s">
        <v>87</v>
      </c>
      <c r="G22" s="59" t="s">
        <v>88</v>
      </c>
      <c r="H22" s="60"/>
      <c r="I22" s="60"/>
      <c r="J22" s="60"/>
      <c r="K22" s="60"/>
    </row>
    <row r="23" spans="2:11" ht="24" customHeight="1" x14ac:dyDescent="0.5">
      <c r="B23" s="21" t="s">
        <v>89</v>
      </c>
      <c r="C23" s="55" t="s">
        <v>90</v>
      </c>
      <c r="D23" s="56"/>
      <c r="E23" s="56"/>
      <c r="F23" s="5" t="s">
        <v>91</v>
      </c>
      <c r="G23" s="55" t="s">
        <v>92</v>
      </c>
      <c r="H23" s="56"/>
      <c r="I23" s="56"/>
      <c r="J23" s="56"/>
      <c r="K23" s="56"/>
    </row>
    <row r="24" spans="2:11" ht="24" customHeight="1" x14ac:dyDescent="0.5">
      <c r="B24" s="23" t="s">
        <v>93</v>
      </c>
      <c r="C24" s="59" t="s">
        <v>94</v>
      </c>
      <c r="D24" s="60"/>
      <c r="E24" s="60"/>
      <c r="F24" s="10" t="s">
        <v>95</v>
      </c>
      <c r="G24" s="59" t="s">
        <v>96</v>
      </c>
      <c r="H24" s="60"/>
      <c r="I24" s="60"/>
      <c r="J24" s="60"/>
      <c r="K24" s="60"/>
    </row>
    <row r="25" spans="2:11" ht="24" customHeight="1" x14ac:dyDescent="0.5">
      <c r="B25" s="21" t="s">
        <v>97</v>
      </c>
      <c r="C25" s="55" t="s">
        <v>98</v>
      </c>
      <c r="D25" s="56"/>
      <c r="E25" s="56"/>
      <c r="F25" s="5" t="s">
        <v>99</v>
      </c>
      <c r="G25" s="55" t="s">
        <v>100</v>
      </c>
      <c r="H25" s="56"/>
      <c r="I25" s="56"/>
      <c r="J25" s="56"/>
      <c r="K25" s="56"/>
    </row>
  </sheetData>
  <mergeCells count="32">
    <mergeCell ref="G25:K25"/>
    <mergeCell ref="H5:I5"/>
    <mergeCell ref="C20:E20"/>
    <mergeCell ref="G22:K22"/>
    <mergeCell ref="B4:C4"/>
    <mergeCell ref="C25:E25"/>
    <mergeCell ref="B19:K19"/>
    <mergeCell ref="G24:K24"/>
    <mergeCell ref="A2:K2"/>
    <mergeCell ref="D4:E4"/>
    <mergeCell ref="C24:E24"/>
    <mergeCell ref="B6:C6"/>
    <mergeCell ref="B8:E8"/>
    <mergeCell ref="G20:K20"/>
    <mergeCell ref="B5:C5"/>
    <mergeCell ref="D5:E5"/>
    <mergeCell ref="G23:K23"/>
    <mergeCell ref="A1:K1"/>
    <mergeCell ref="G8:K8"/>
    <mergeCell ref="D6:E6"/>
    <mergeCell ref="H6:I6"/>
    <mergeCell ref="J6:K6"/>
    <mergeCell ref="C23:E23"/>
    <mergeCell ref="F5:G5"/>
    <mergeCell ref="J4:K4"/>
    <mergeCell ref="F4:G4"/>
    <mergeCell ref="G21:K21"/>
    <mergeCell ref="J5:K5"/>
    <mergeCell ref="C22:E22"/>
    <mergeCell ref="F6:G6"/>
    <mergeCell ref="H4:I4"/>
    <mergeCell ref="C21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12" customWidth="1"/>
    <col min="2" max="2" width="20" customWidth="1"/>
    <col min="3" max="3" width="22" customWidth="1"/>
    <col min="4" max="4" width="38" customWidth="1"/>
    <col min="5" max="5" width="45" customWidth="1"/>
    <col min="6" max="6" width="28" customWidth="1"/>
    <col min="7" max="7" width="30" customWidth="1"/>
    <col min="8" max="8" width="26" customWidth="1"/>
    <col min="9" max="9" width="18" customWidth="1"/>
    <col min="10" max="10" width="14" customWidth="1"/>
    <col min="11" max="11" width="22" customWidth="1"/>
    <col min="12" max="12" width="24" customWidth="1"/>
    <col min="13" max="13" width="40" customWidth="1"/>
  </cols>
  <sheetData>
    <row r="1" spans="1:13" ht="36" customHeight="1" x14ac:dyDescent="0.4">
      <c r="A1" s="63" t="s">
        <v>101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20.05" customHeight="1" x14ac:dyDescent="0.4">
      <c r="A2" s="66" t="s">
        <v>102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5" spans="1:13" ht="28" customHeight="1" x14ac:dyDescent="0.4">
      <c r="A5" s="1" t="s">
        <v>103</v>
      </c>
      <c r="B5" s="1" t="s">
        <v>104</v>
      </c>
      <c r="C5" s="1" t="s">
        <v>105</v>
      </c>
      <c r="D5" s="1" t="s">
        <v>106</v>
      </c>
      <c r="E5" s="1" t="s">
        <v>107</v>
      </c>
      <c r="F5" s="1" t="s">
        <v>108</v>
      </c>
      <c r="G5" s="1" t="s">
        <v>109</v>
      </c>
      <c r="H5" s="1" t="s">
        <v>110</v>
      </c>
      <c r="I5" s="1" t="s">
        <v>111</v>
      </c>
      <c r="J5" s="1" t="s">
        <v>112</v>
      </c>
      <c r="K5" s="1" t="s">
        <v>113</v>
      </c>
      <c r="L5" s="1" t="s">
        <v>114</v>
      </c>
      <c r="M5" s="1" t="s">
        <v>115</v>
      </c>
    </row>
    <row r="6" spans="1:13" ht="28" customHeight="1" x14ac:dyDescent="0.4">
      <c r="A6" s="25" t="s">
        <v>116</v>
      </c>
      <c r="B6" s="5" t="s">
        <v>117</v>
      </c>
      <c r="C6" s="5" t="s">
        <v>118</v>
      </c>
      <c r="D6" s="22" t="s">
        <v>119</v>
      </c>
      <c r="E6" s="22" t="s">
        <v>120</v>
      </c>
      <c r="F6" s="22" t="s">
        <v>121</v>
      </c>
      <c r="G6" s="22" t="s">
        <v>122</v>
      </c>
      <c r="H6" s="5" t="s">
        <v>123</v>
      </c>
      <c r="I6" s="5" t="s">
        <v>124</v>
      </c>
      <c r="J6" s="26">
        <v>44762</v>
      </c>
      <c r="K6" s="27" t="s">
        <v>125</v>
      </c>
      <c r="L6" s="5" t="s">
        <v>126</v>
      </c>
      <c r="M6" s="22" t="s">
        <v>127</v>
      </c>
    </row>
    <row r="7" spans="1:13" ht="28" customHeight="1" x14ac:dyDescent="0.4">
      <c r="A7" s="28" t="s">
        <v>128</v>
      </c>
      <c r="B7" s="10" t="s">
        <v>117</v>
      </c>
      <c r="C7" s="10" t="s">
        <v>118</v>
      </c>
      <c r="D7" s="24" t="s">
        <v>129</v>
      </c>
      <c r="E7" s="24" t="s">
        <v>130</v>
      </c>
      <c r="F7" s="24" t="s">
        <v>131</v>
      </c>
      <c r="G7" s="24" t="s">
        <v>132</v>
      </c>
      <c r="H7" s="10" t="s">
        <v>123</v>
      </c>
      <c r="I7" s="10" t="s">
        <v>133</v>
      </c>
      <c r="J7" s="29">
        <v>44856</v>
      </c>
      <c r="K7" s="30" t="s">
        <v>134</v>
      </c>
      <c r="L7" s="10" t="s">
        <v>135</v>
      </c>
      <c r="M7" s="24" t="s">
        <v>136</v>
      </c>
    </row>
    <row r="8" spans="1:13" ht="28" customHeight="1" x14ac:dyDescent="0.4">
      <c r="A8" s="25" t="s">
        <v>137</v>
      </c>
      <c r="B8" s="5" t="s">
        <v>117</v>
      </c>
      <c r="C8" s="5" t="s">
        <v>118</v>
      </c>
      <c r="D8" s="22" t="s">
        <v>138</v>
      </c>
      <c r="E8" s="22" t="s">
        <v>139</v>
      </c>
      <c r="F8" s="22" t="s">
        <v>140</v>
      </c>
      <c r="G8" s="22" t="s">
        <v>141</v>
      </c>
      <c r="H8" s="5" t="s">
        <v>123</v>
      </c>
      <c r="I8" s="5" t="s">
        <v>142</v>
      </c>
      <c r="J8" s="26">
        <v>44925</v>
      </c>
      <c r="K8" s="30" t="s">
        <v>134</v>
      </c>
      <c r="L8" s="5" t="s">
        <v>143</v>
      </c>
      <c r="M8" s="22" t="s">
        <v>144</v>
      </c>
    </row>
    <row r="9" spans="1:13" ht="28" customHeight="1" x14ac:dyDescent="0.4">
      <c r="A9" s="28" t="s">
        <v>145</v>
      </c>
      <c r="B9" s="10" t="s">
        <v>117</v>
      </c>
      <c r="C9" s="10" t="s">
        <v>118</v>
      </c>
      <c r="D9" s="24" t="s">
        <v>146</v>
      </c>
      <c r="E9" s="24" t="s">
        <v>147</v>
      </c>
      <c r="F9" s="24" t="s">
        <v>148</v>
      </c>
      <c r="G9" s="24" t="s">
        <v>149</v>
      </c>
      <c r="H9" s="10" t="s">
        <v>123</v>
      </c>
      <c r="I9" s="10" t="s">
        <v>150</v>
      </c>
      <c r="J9" s="29">
        <v>45509</v>
      </c>
      <c r="K9" s="11" t="s">
        <v>29</v>
      </c>
      <c r="L9" s="10" t="s">
        <v>151</v>
      </c>
      <c r="M9" s="24" t="s">
        <v>152</v>
      </c>
    </row>
    <row r="10" spans="1:13" ht="28" customHeight="1" x14ac:dyDescent="0.4">
      <c r="A10" s="25" t="s">
        <v>153</v>
      </c>
      <c r="B10" s="5" t="s">
        <v>117</v>
      </c>
      <c r="C10" s="5" t="s">
        <v>154</v>
      </c>
      <c r="D10" s="22" t="s">
        <v>155</v>
      </c>
      <c r="E10" s="22" t="s">
        <v>156</v>
      </c>
      <c r="F10" s="22" t="s">
        <v>157</v>
      </c>
      <c r="G10" s="22" t="s">
        <v>158</v>
      </c>
      <c r="H10" s="5" t="s">
        <v>123</v>
      </c>
      <c r="I10" s="5" t="s">
        <v>159</v>
      </c>
      <c r="J10" s="26">
        <v>45411</v>
      </c>
      <c r="K10" s="27" t="s">
        <v>160</v>
      </c>
      <c r="L10" s="5" t="s">
        <v>126</v>
      </c>
      <c r="M10" s="22" t="s">
        <v>161</v>
      </c>
    </row>
    <row r="11" spans="1:13" ht="28" customHeight="1" x14ac:dyDescent="0.4">
      <c r="A11" s="28" t="s">
        <v>162</v>
      </c>
      <c r="B11" s="10" t="s">
        <v>117</v>
      </c>
      <c r="C11" s="10" t="s">
        <v>118</v>
      </c>
      <c r="D11" s="24" t="s">
        <v>163</v>
      </c>
      <c r="E11" s="24" t="s">
        <v>164</v>
      </c>
      <c r="F11" s="24" t="s">
        <v>140</v>
      </c>
      <c r="G11" s="24" t="s">
        <v>165</v>
      </c>
      <c r="H11" s="10" t="s">
        <v>123</v>
      </c>
      <c r="I11" s="10" t="s">
        <v>166</v>
      </c>
      <c r="J11" s="29">
        <v>45505</v>
      </c>
      <c r="K11" s="13" t="s">
        <v>167</v>
      </c>
      <c r="L11" s="10" t="s">
        <v>126</v>
      </c>
      <c r="M11" s="24" t="s">
        <v>168</v>
      </c>
    </row>
    <row r="12" spans="1:13" ht="28" customHeight="1" x14ac:dyDescent="0.4">
      <c r="A12" s="25" t="s">
        <v>169</v>
      </c>
      <c r="B12" s="5" t="s">
        <v>117</v>
      </c>
      <c r="C12" s="5" t="s">
        <v>118</v>
      </c>
      <c r="D12" s="22" t="s">
        <v>170</v>
      </c>
      <c r="E12" s="22" t="s">
        <v>171</v>
      </c>
      <c r="F12" s="22" t="s">
        <v>172</v>
      </c>
      <c r="G12" s="22" t="s">
        <v>173</v>
      </c>
      <c r="H12" s="5" t="s">
        <v>123</v>
      </c>
      <c r="I12" s="5" t="s">
        <v>174</v>
      </c>
      <c r="J12" s="26">
        <v>45573</v>
      </c>
      <c r="K12" s="11" t="s">
        <v>29</v>
      </c>
      <c r="L12" s="5" t="s">
        <v>175</v>
      </c>
      <c r="M12" s="22" t="s">
        <v>152</v>
      </c>
    </row>
    <row r="13" spans="1:13" ht="28" customHeight="1" x14ac:dyDescent="0.4">
      <c r="A13" s="28" t="s">
        <v>176</v>
      </c>
      <c r="B13" s="10" t="s">
        <v>117</v>
      </c>
      <c r="C13" s="10" t="s">
        <v>118</v>
      </c>
      <c r="D13" s="24" t="s">
        <v>177</v>
      </c>
      <c r="E13" s="24" t="s">
        <v>178</v>
      </c>
      <c r="F13" s="24" t="s">
        <v>179</v>
      </c>
      <c r="G13" s="24" t="s">
        <v>180</v>
      </c>
      <c r="H13" s="10" t="s">
        <v>123</v>
      </c>
      <c r="I13" s="10" t="s">
        <v>181</v>
      </c>
      <c r="J13" s="29">
        <v>45764</v>
      </c>
      <c r="K13" s="11" t="s">
        <v>29</v>
      </c>
      <c r="L13" s="10" t="s">
        <v>182</v>
      </c>
      <c r="M13" s="24" t="s">
        <v>183</v>
      </c>
    </row>
    <row r="14" spans="1:13" ht="28" customHeight="1" x14ac:dyDescent="0.4">
      <c r="A14" s="25" t="s">
        <v>184</v>
      </c>
      <c r="B14" s="5" t="s">
        <v>117</v>
      </c>
      <c r="C14" s="5" t="s">
        <v>118</v>
      </c>
      <c r="D14" s="22" t="s">
        <v>185</v>
      </c>
      <c r="E14" s="22" t="s">
        <v>186</v>
      </c>
      <c r="F14" s="22" t="s">
        <v>179</v>
      </c>
      <c r="G14" s="22" t="s">
        <v>180</v>
      </c>
      <c r="H14" s="5" t="s">
        <v>123</v>
      </c>
      <c r="I14" s="5" t="s">
        <v>187</v>
      </c>
      <c r="J14" s="26">
        <v>45768</v>
      </c>
      <c r="K14" s="11" t="s">
        <v>29</v>
      </c>
      <c r="L14" s="5" t="s">
        <v>182</v>
      </c>
      <c r="M14" s="22" t="s">
        <v>183</v>
      </c>
    </row>
    <row r="15" spans="1:13" ht="28" customHeight="1" x14ac:dyDescent="0.4">
      <c r="A15" s="28" t="s">
        <v>188</v>
      </c>
      <c r="B15" s="10" t="s">
        <v>117</v>
      </c>
      <c r="C15" s="10" t="s">
        <v>118</v>
      </c>
      <c r="D15" s="24" t="s">
        <v>189</v>
      </c>
      <c r="E15" s="24" t="s">
        <v>190</v>
      </c>
      <c r="F15" s="24" t="s">
        <v>191</v>
      </c>
      <c r="G15" s="24" t="s">
        <v>192</v>
      </c>
      <c r="H15" s="10" t="s">
        <v>123</v>
      </c>
      <c r="I15" s="10" t="s">
        <v>193</v>
      </c>
      <c r="J15" s="29">
        <v>45772</v>
      </c>
      <c r="K15" s="11" t="s">
        <v>29</v>
      </c>
      <c r="L15" s="10" t="s">
        <v>194</v>
      </c>
      <c r="M15" s="24" t="s">
        <v>152</v>
      </c>
    </row>
    <row r="16" spans="1:13" ht="28" customHeight="1" x14ac:dyDescent="0.4">
      <c r="A16" s="25" t="s">
        <v>195</v>
      </c>
      <c r="B16" s="5" t="s">
        <v>117</v>
      </c>
      <c r="C16" s="5" t="s">
        <v>118</v>
      </c>
      <c r="D16" s="22" t="s">
        <v>196</v>
      </c>
      <c r="E16" s="22" t="s">
        <v>197</v>
      </c>
      <c r="F16" s="22" t="s">
        <v>140</v>
      </c>
      <c r="G16" s="22" t="s">
        <v>198</v>
      </c>
      <c r="H16" s="5" t="s">
        <v>123</v>
      </c>
      <c r="I16" s="5" t="s">
        <v>199</v>
      </c>
      <c r="J16" s="26">
        <v>45773</v>
      </c>
      <c r="K16" s="13" t="s">
        <v>200</v>
      </c>
      <c r="L16" s="5" t="s">
        <v>126</v>
      </c>
      <c r="M16" s="22" t="s">
        <v>201</v>
      </c>
    </row>
    <row r="17" spans="1:13" ht="28" customHeight="1" x14ac:dyDescent="0.4">
      <c r="A17" s="28" t="s">
        <v>202</v>
      </c>
      <c r="B17" s="10" t="s">
        <v>117</v>
      </c>
      <c r="C17" s="10" t="s">
        <v>118</v>
      </c>
      <c r="D17" s="24" t="s">
        <v>203</v>
      </c>
      <c r="E17" s="24" t="s">
        <v>204</v>
      </c>
      <c r="F17" s="24" t="s">
        <v>205</v>
      </c>
      <c r="G17" s="24" t="s">
        <v>206</v>
      </c>
      <c r="H17" s="10" t="s">
        <v>123</v>
      </c>
      <c r="I17" s="10" t="s">
        <v>207</v>
      </c>
      <c r="J17" s="29">
        <v>45776</v>
      </c>
      <c r="K17" s="31" t="s">
        <v>208</v>
      </c>
      <c r="L17" s="10" t="s">
        <v>209</v>
      </c>
      <c r="M17" s="24" t="s">
        <v>210</v>
      </c>
    </row>
    <row r="18" spans="1:13" ht="28" customHeight="1" x14ac:dyDescent="0.4">
      <c r="A18" s="25" t="s">
        <v>211</v>
      </c>
      <c r="B18" s="5" t="s">
        <v>117</v>
      </c>
      <c r="C18" s="5" t="s">
        <v>118</v>
      </c>
      <c r="D18" s="22" t="s">
        <v>212</v>
      </c>
      <c r="E18" s="22" t="s">
        <v>213</v>
      </c>
      <c r="F18" s="22" t="s">
        <v>214</v>
      </c>
      <c r="G18" s="22" t="s">
        <v>215</v>
      </c>
      <c r="H18" s="5" t="s">
        <v>123</v>
      </c>
      <c r="I18" s="5" t="s">
        <v>216</v>
      </c>
      <c r="J18" s="26">
        <v>45789</v>
      </c>
      <c r="K18" s="11" t="s">
        <v>29</v>
      </c>
      <c r="L18" s="5" t="s">
        <v>175</v>
      </c>
      <c r="M18" s="22" t="s">
        <v>152</v>
      </c>
    </row>
    <row r="19" spans="1:13" ht="28" customHeight="1" x14ac:dyDescent="0.4">
      <c r="A19" s="28" t="s">
        <v>217</v>
      </c>
      <c r="B19" s="10" t="s">
        <v>117</v>
      </c>
      <c r="C19" s="10" t="s">
        <v>118</v>
      </c>
      <c r="D19" s="24" t="s">
        <v>218</v>
      </c>
      <c r="E19" s="24" t="s">
        <v>219</v>
      </c>
      <c r="F19" s="24" t="s">
        <v>205</v>
      </c>
      <c r="G19" s="24" t="s">
        <v>206</v>
      </c>
      <c r="H19" s="10" t="s">
        <v>123</v>
      </c>
      <c r="I19" s="10" t="s">
        <v>220</v>
      </c>
      <c r="J19" s="29">
        <v>45791</v>
      </c>
      <c r="K19" s="6" t="s">
        <v>221</v>
      </c>
      <c r="L19" s="10" t="s">
        <v>222</v>
      </c>
      <c r="M19" s="24" t="s">
        <v>223</v>
      </c>
    </row>
    <row r="20" spans="1:13" ht="28" customHeight="1" x14ac:dyDescent="0.4">
      <c r="A20" s="25" t="s">
        <v>224</v>
      </c>
      <c r="B20" s="5" t="s">
        <v>117</v>
      </c>
      <c r="C20" s="5" t="s">
        <v>118</v>
      </c>
      <c r="D20" s="22" t="s">
        <v>225</v>
      </c>
      <c r="E20" s="22" t="s">
        <v>226</v>
      </c>
      <c r="F20" s="22" t="s">
        <v>227</v>
      </c>
      <c r="G20" s="22" t="s">
        <v>228</v>
      </c>
      <c r="H20" s="5" t="s">
        <v>123</v>
      </c>
      <c r="I20" s="5" t="s">
        <v>229</v>
      </c>
      <c r="J20" s="26">
        <v>45835</v>
      </c>
      <c r="K20" s="13" t="s">
        <v>200</v>
      </c>
      <c r="L20" s="5" t="s">
        <v>126</v>
      </c>
      <c r="M20" s="22" t="s">
        <v>230</v>
      </c>
    </row>
    <row r="21" spans="1:13" ht="28" customHeight="1" x14ac:dyDescent="0.4">
      <c r="A21" s="28" t="s">
        <v>231</v>
      </c>
      <c r="B21" s="10" t="s">
        <v>117</v>
      </c>
      <c r="C21" s="10" t="s">
        <v>118</v>
      </c>
      <c r="D21" s="24" t="s">
        <v>232</v>
      </c>
      <c r="E21" s="24" t="s">
        <v>233</v>
      </c>
      <c r="F21" s="24" t="s">
        <v>205</v>
      </c>
      <c r="G21" s="24" t="s">
        <v>234</v>
      </c>
      <c r="H21" s="10" t="s">
        <v>123</v>
      </c>
      <c r="I21" s="10" t="s">
        <v>235</v>
      </c>
      <c r="J21" s="29">
        <v>45846</v>
      </c>
      <c r="K21" s="6" t="s">
        <v>221</v>
      </c>
      <c r="L21" s="10" t="s">
        <v>236</v>
      </c>
      <c r="M21" s="24" t="s">
        <v>223</v>
      </c>
    </row>
    <row r="22" spans="1:13" ht="28" customHeight="1" x14ac:dyDescent="0.4">
      <c r="A22" s="25" t="s">
        <v>237</v>
      </c>
      <c r="B22" s="5" t="s">
        <v>117</v>
      </c>
      <c r="C22" s="5" t="s">
        <v>118</v>
      </c>
      <c r="D22" s="22" t="s">
        <v>238</v>
      </c>
      <c r="E22" s="22" t="s">
        <v>239</v>
      </c>
      <c r="F22" s="22" t="s">
        <v>205</v>
      </c>
      <c r="G22" s="22" t="s">
        <v>234</v>
      </c>
      <c r="H22" s="5" t="s">
        <v>123</v>
      </c>
      <c r="I22" s="5" t="s">
        <v>240</v>
      </c>
      <c r="J22" s="26">
        <v>45868</v>
      </c>
      <c r="K22" s="11" t="s">
        <v>35</v>
      </c>
      <c r="L22" s="5" t="s">
        <v>241</v>
      </c>
      <c r="M22" s="22" t="s">
        <v>242</v>
      </c>
    </row>
    <row r="23" spans="1:13" ht="28" customHeight="1" x14ac:dyDescent="0.4">
      <c r="A23" s="28" t="s">
        <v>243</v>
      </c>
      <c r="B23" s="10" t="s">
        <v>117</v>
      </c>
      <c r="C23" s="10" t="s">
        <v>118</v>
      </c>
      <c r="D23" s="24" t="s">
        <v>244</v>
      </c>
      <c r="E23" s="24" t="s">
        <v>245</v>
      </c>
      <c r="F23" s="24" t="s">
        <v>191</v>
      </c>
      <c r="G23" s="24" t="s">
        <v>246</v>
      </c>
      <c r="H23" s="10" t="s">
        <v>123</v>
      </c>
      <c r="I23" s="10" t="s">
        <v>247</v>
      </c>
      <c r="J23" s="29">
        <v>45897</v>
      </c>
      <c r="K23" s="11" t="s">
        <v>29</v>
      </c>
      <c r="L23" s="10" t="s">
        <v>175</v>
      </c>
      <c r="M23" s="24" t="s">
        <v>152</v>
      </c>
    </row>
    <row r="24" spans="1:13" ht="28" customHeight="1" x14ac:dyDescent="0.4">
      <c r="A24" s="25" t="s">
        <v>248</v>
      </c>
      <c r="B24" s="5" t="s">
        <v>117</v>
      </c>
      <c r="C24" s="5" t="s">
        <v>118</v>
      </c>
      <c r="D24" s="22" t="s">
        <v>249</v>
      </c>
      <c r="E24" s="22" t="s">
        <v>250</v>
      </c>
      <c r="F24" s="22" t="s">
        <v>251</v>
      </c>
      <c r="G24" s="22" t="s">
        <v>252</v>
      </c>
      <c r="H24" s="5" t="s">
        <v>123</v>
      </c>
      <c r="I24" s="5" t="s">
        <v>253</v>
      </c>
      <c r="J24" s="26">
        <v>45959</v>
      </c>
      <c r="K24" s="13" t="s">
        <v>200</v>
      </c>
      <c r="L24" s="5" t="s">
        <v>126</v>
      </c>
      <c r="M24" s="22" t="s">
        <v>254</v>
      </c>
    </row>
    <row r="25" spans="1:13" ht="28" customHeight="1" x14ac:dyDescent="0.4">
      <c r="A25" s="28" t="s">
        <v>255</v>
      </c>
      <c r="B25" s="10" t="s">
        <v>117</v>
      </c>
      <c r="C25" s="10" t="s">
        <v>118</v>
      </c>
      <c r="D25" s="24" t="s">
        <v>256</v>
      </c>
      <c r="E25" s="24" t="s">
        <v>257</v>
      </c>
      <c r="F25" s="24" t="s">
        <v>258</v>
      </c>
      <c r="G25" s="24" t="s">
        <v>259</v>
      </c>
      <c r="H25" s="10" t="s">
        <v>123</v>
      </c>
      <c r="I25" s="10" t="s">
        <v>260</v>
      </c>
      <c r="J25" s="29">
        <v>45961</v>
      </c>
      <c r="K25" s="6" t="s">
        <v>221</v>
      </c>
      <c r="L25" s="10" t="s">
        <v>261</v>
      </c>
      <c r="M25" s="24" t="s">
        <v>223</v>
      </c>
    </row>
    <row r="26" spans="1:13" ht="28" customHeight="1" x14ac:dyDescent="0.4">
      <c r="A26" s="25" t="s">
        <v>262</v>
      </c>
      <c r="B26" s="5" t="s">
        <v>117</v>
      </c>
      <c r="C26" s="5" t="s">
        <v>118</v>
      </c>
      <c r="D26" s="22" t="s">
        <v>263</v>
      </c>
      <c r="E26" s="22" t="s">
        <v>264</v>
      </c>
      <c r="F26" s="22" t="s">
        <v>265</v>
      </c>
      <c r="G26" s="22" t="s">
        <v>266</v>
      </c>
      <c r="H26" s="5" t="s">
        <v>123</v>
      </c>
      <c r="I26" s="5" t="s">
        <v>267</v>
      </c>
      <c r="J26" s="26">
        <v>45965</v>
      </c>
      <c r="K26" s="11" t="s">
        <v>268</v>
      </c>
      <c r="L26" s="5" t="s">
        <v>269</v>
      </c>
      <c r="M26" s="22" t="s">
        <v>270</v>
      </c>
    </row>
    <row r="27" spans="1:13" ht="28" customHeight="1" x14ac:dyDescent="0.4">
      <c r="A27" s="28" t="s">
        <v>271</v>
      </c>
      <c r="B27" s="10" t="s">
        <v>117</v>
      </c>
      <c r="C27" s="10" t="s">
        <v>118</v>
      </c>
      <c r="D27" s="24" t="s">
        <v>272</v>
      </c>
      <c r="E27" s="24" t="s">
        <v>273</v>
      </c>
      <c r="F27" s="24" t="s">
        <v>274</v>
      </c>
      <c r="G27" s="24" t="s">
        <v>275</v>
      </c>
      <c r="H27" s="10" t="s">
        <v>123</v>
      </c>
      <c r="I27" s="10" t="s">
        <v>276</v>
      </c>
      <c r="J27" s="29">
        <v>45967</v>
      </c>
      <c r="K27" s="30" t="s">
        <v>134</v>
      </c>
      <c r="L27" s="10" t="s">
        <v>126</v>
      </c>
      <c r="M27" s="24" t="s">
        <v>277</v>
      </c>
    </row>
    <row r="28" spans="1:13" ht="28" customHeight="1" x14ac:dyDescent="0.4">
      <c r="A28" s="25" t="s">
        <v>278</v>
      </c>
      <c r="B28" s="5" t="s">
        <v>117</v>
      </c>
      <c r="C28" s="5" t="s">
        <v>118</v>
      </c>
      <c r="D28" s="22" t="s">
        <v>279</v>
      </c>
      <c r="E28" s="22" t="s">
        <v>280</v>
      </c>
      <c r="F28" s="22" t="s">
        <v>281</v>
      </c>
      <c r="G28" s="22" t="s">
        <v>282</v>
      </c>
      <c r="H28" s="5" t="s">
        <v>123</v>
      </c>
      <c r="I28" s="5" t="s">
        <v>283</v>
      </c>
      <c r="J28" s="26">
        <v>45971</v>
      </c>
      <c r="K28" s="11" t="s">
        <v>35</v>
      </c>
      <c r="L28" s="5" t="s">
        <v>284</v>
      </c>
      <c r="M28" s="22" t="s">
        <v>285</v>
      </c>
    </row>
    <row r="29" spans="1:13" ht="28" customHeight="1" x14ac:dyDescent="0.4">
      <c r="A29" s="28" t="s">
        <v>286</v>
      </c>
      <c r="B29" s="10" t="s">
        <v>117</v>
      </c>
      <c r="C29" s="10" t="s">
        <v>118</v>
      </c>
      <c r="D29" s="24" t="s">
        <v>287</v>
      </c>
      <c r="E29" s="24" t="s">
        <v>288</v>
      </c>
      <c r="F29" s="24" t="s">
        <v>289</v>
      </c>
      <c r="G29" s="24" t="s">
        <v>290</v>
      </c>
      <c r="H29" s="10" t="s">
        <v>123</v>
      </c>
      <c r="I29" s="10" t="s">
        <v>291</v>
      </c>
      <c r="J29" s="29">
        <v>45980</v>
      </c>
      <c r="K29" s="11" t="s">
        <v>35</v>
      </c>
      <c r="L29" s="10" t="s">
        <v>126</v>
      </c>
      <c r="M29" s="24" t="s">
        <v>292</v>
      </c>
    </row>
    <row r="30" spans="1:13" ht="28" customHeight="1" x14ac:dyDescent="0.4">
      <c r="A30" s="25" t="s">
        <v>293</v>
      </c>
      <c r="B30" s="5" t="s">
        <v>117</v>
      </c>
      <c r="C30" s="5" t="s">
        <v>118</v>
      </c>
      <c r="D30" s="22" t="s">
        <v>294</v>
      </c>
      <c r="E30" s="22" t="s">
        <v>295</v>
      </c>
      <c r="F30" s="22" t="s">
        <v>296</v>
      </c>
      <c r="G30" s="22" t="s">
        <v>297</v>
      </c>
      <c r="H30" s="5" t="s">
        <v>123</v>
      </c>
      <c r="I30" s="5" t="s">
        <v>298</v>
      </c>
      <c r="J30" s="26">
        <v>45986</v>
      </c>
      <c r="K30" s="11" t="s">
        <v>299</v>
      </c>
      <c r="L30" s="5" t="s">
        <v>126</v>
      </c>
      <c r="M30" s="22" t="s">
        <v>300</v>
      </c>
    </row>
    <row r="31" spans="1:13" ht="28" customHeight="1" x14ac:dyDescent="0.4">
      <c r="A31" s="28" t="s">
        <v>301</v>
      </c>
      <c r="B31" s="10" t="s">
        <v>117</v>
      </c>
      <c r="C31" s="10" t="s">
        <v>118</v>
      </c>
      <c r="D31" s="24" t="s">
        <v>302</v>
      </c>
      <c r="E31" s="24" t="s">
        <v>303</v>
      </c>
      <c r="F31" s="24" t="s">
        <v>172</v>
      </c>
      <c r="G31" s="24" t="s">
        <v>304</v>
      </c>
      <c r="H31" s="10" t="s">
        <v>123</v>
      </c>
      <c r="I31" s="10" t="s">
        <v>305</v>
      </c>
      <c r="J31" s="29">
        <v>46007</v>
      </c>
      <c r="K31" s="11" t="s">
        <v>299</v>
      </c>
      <c r="L31" s="10" t="s">
        <v>126</v>
      </c>
      <c r="M31" s="24" t="s">
        <v>306</v>
      </c>
    </row>
    <row r="32" spans="1:13" ht="28" customHeight="1" x14ac:dyDescent="0.4">
      <c r="A32" s="25" t="s">
        <v>307</v>
      </c>
      <c r="B32" s="5" t="s">
        <v>117</v>
      </c>
      <c r="C32" s="5" t="s">
        <v>118</v>
      </c>
      <c r="D32" s="22" t="s">
        <v>203</v>
      </c>
      <c r="E32" s="22" t="s">
        <v>308</v>
      </c>
      <c r="F32" s="22" t="s">
        <v>205</v>
      </c>
      <c r="G32" s="22" t="s">
        <v>206</v>
      </c>
      <c r="H32" s="5" t="s">
        <v>123</v>
      </c>
      <c r="I32" s="5" t="s">
        <v>207</v>
      </c>
      <c r="J32" s="26">
        <v>45776</v>
      </c>
      <c r="K32" s="6" t="s">
        <v>221</v>
      </c>
      <c r="L32" s="5" t="s">
        <v>209</v>
      </c>
      <c r="M32" s="22" t="s">
        <v>223</v>
      </c>
    </row>
    <row r="33" spans="1:13" ht="28" customHeight="1" x14ac:dyDescent="0.4">
      <c r="A33" s="28" t="s">
        <v>309</v>
      </c>
      <c r="B33" s="10" t="s">
        <v>117</v>
      </c>
      <c r="C33" s="10" t="s">
        <v>310</v>
      </c>
      <c r="D33" s="24" t="s">
        <v>311</v>
      </c>
      <c r="E33" s="24" t="s">
        <v>312</v>
      </c>
      <c r="F33" s="24" t="s">
        <v>274</v>
      </c>
      <c r="G33" s="24" t="s">
        <v>313</v>
      </c>
      <c r="H33" s="10" t="s">
        <v>123</v>
      </c>
      <c r="I33" s="10" t="s">
        <v>314</v>
      </c>
      <c r="J33" s="29">
        <v>45967</v>
      </c>
      <c r="K33" s="27" t="s">
        <v>315</v>
      </c>
      <c r="L33" s="10" t="s">
        <v>126</v>
      </c>
      <c r="M33" s="24" t="s">
        <v>316</v>
      </c>
    </row>
    <row r="34" spans="1:13" ht="28" customHeight="1" x14ac:dyDescent="0.4">
      <c r="A34" s="25" t="s">
        <v>317</v>
      </c>
      <c r="B34" s="5" t="s">
        <v>318</v>
      </c>
      <c r="C34" s="5" t="s">
        <v>319</v>
      </c>
      <c r="D34" s="22" t="s">
        <v>320</v>
      </c>
      <c r="E34" s="22" t="s">
        <v>321</v>
      </c>
      <c r="F34" s="22" t="s">
        <v>322</v>
      </c>
      <c r="G34" s="22" t="s">
        <v>323</v>
      </c>
      <c r="H34" s="5" t="s">
        <v>324</v>
      </c>
      <c r="I34" s="5" t="s">
        <v>325</v>
      </c>
      <c r="J34" s="26">
        <v>46133</v>
      </c>
      <c r="K34" s="6" t="s">
        <v>326</v>
      </c>
      <c r="L34" s="5" t="s">
        <v>327</v>
      </c>
      <c r="M34" s="22" t="s">
        <v>328</v>
      </c>
    </row>
    <row r="35" spans="1:13" ht="28" customHeight="1" x14ac:dyDescent="0.4">
      <c r="A35" s="28" t="s">
        <v>329</v>
      </c>
      <c r="B35" s="10" t="s">
        <v>318</v>
      </c>
      <c r="C35" s="10" t="s">
        <v>319</v>
      </c>
      <c r="D35" s="24" t="s">
        <v>330</v>
      </c>
      <c r="E35" s="24" t="s">
        <v>331</v>
      </c>
      <c r="F35" s="24" t="s">
        <v>332</v>
      </c>
      <c r="G35" s="24" t="s">
        <v>323</v>
      </c>
      <c r="H35" s="10" t="s">
        <v>324</v>
      </c>
      <c r="I35" s="10" t="s">
        <v>333</v>
      </c>
      <c r="J35" s="29">
        <v>46133</v>
      </c>
      <c r="K35" s="6" t="s">
        <v>326</v>
      </c>
      <c r="L35" s="10" t="s">
        <v>334</v>
      </c>
      <c r="M35" s="24" t="s">
        <v>335</v>
      </c>
    </row>
    <row r="36" spans="1:13" ht="28" customHeight="1" x14ac:dyDescent="0.4">
      <c r="A36" s="25" t="s">
        <v>336</v>
      </c>
      <c r="B36" s="5" t="s">
        <v>318</v>
      </c>
      <c r="C36" s="5" t="s">
        <v>319</v>
      </c>
      <c r="D36" s="22" t="s">
        <v>337</v>
      </c>
      <c r="E36" s="22" t="s">
        <v>338</v>
      </c>
      <c r="F36" s="22" t="s">
        <v>339</v>
      </c>
      <c r="G36" s="22" t="s">
        <v>323</v>
      </c>
      <c r="H36" s="5" t="s">
        <v>324</v>
      </c>
      <c r="I36" s="5" t="s">
        <v>340</v>
      </c>
      <c r="J36" s="26">
        <v>46133</v>
      </c>
      <c r="K36" s="6" t="s">
        <v>326</v>
      </c>
      <c r="L36" s="5" t="s">
        <v>341</v>
      </c>
      <c r="M36" s="22" t="s">
        <v>342</v>
      </c>
    </row>
    <row r="37" spans="1:13" ht="28" customHeight="1" x14ac:dyDescent="0.4">
      <c r="A37" s="28" t="s">
        <v>343</v>
      </c>
      <c r="B37" s="10" t="s">
        <v>318</v>
      </c>
      <c r="C37" s="10" t="s">
        <v>319</v>
      </c>
      <c r="D37" s="24" t="s">
        <v>320</v>
      </c>
      <c r="E37" s="24" t="s">
        <v>321</v>
      </c>
      <c r="F37" s="24" t="s">
        <v>322</v>
      </c>
      <c r="G37" s="24" t="s">
        <v>323</v>
      </c>
      <c r="H37" s="10" t="s">
        <v>324</v>
      </c>
      <c r="I37" s="10" t="s">
        <v>325</v>
      </c>
      <c r="J37" s="29">
        <v>46133</v>
      </c>
      <c r="K37" s="6" t="s">
        <v>326</v>
      </c>
      <c r="L37" s="10" t="s">
        <v>341</v>
      </c>
      <c r="M37" s="24" t="s">
        <v>344</v>
      </c>
    </row>
    <row r="38" spans="1:13" ht="28" customHeight="1" x14ac:dyDescent="0.4">
      <c r="A38" s="25" t="s">
        <v>345</v>
      </c>
      <c r="B38" s="5" t="s">
        <v>318</v>
      </c>
      <c r="C38" s="5" t="s">
        <v>319</v>
      </c>
      <c r="D38" s="22" t="s">
        <v>346</v>
      </c>
      <c r="E38" s="22" t="s">
        <v>347</v>
      </c>
      <c r="F38" s="22" t="s">
        <v>348</v>
      </c>
      <c r="G38" s="22" t="s">
        <v>323</v>
      </c>
      <c r="H38" s="5" t="s">
        <v>324</v>
      </c>
      <c r="I38" s="5" t="s">
        <v>349</v>
      </c>
      <c r="J38" s="26">
        <v>46133</v>
      </c>
      <c r="K38" s="6" t="s">
        <v>326</v>
      </c>
      <c r="L38" s="5" t="s">
        <v>327</v>
      </c>
      <c r="M38" s="22" t="s">
        <v>350</v>
      </c>
    </row>
    <row r="39" spans="1:13" ht="28" customHeight="1" x14ac:dyDescent="0.4">
      <c r="A39" s="28" t="s">
        <v>351</v>
      </c>
      <c r="B39" s="10" t="s">
        <v>318</v>
      </c>
      <c r="C39" s="10" t="s">
        <v>319</v>
      </c>
      <c r="D39" s="24" t="s">
        <v>352</v>
      </c>
      <c r="E39" s="24" t="s">
        <v>353</v>
      </c>
      <c r="F39" s="24" t="s">
        <v>354</v>
      </c>
      <c r="G39" s="24" t="s">
        <v>323</v>
      </c>
      <c r="H39" s="10" t="s">
        <v>324</v>
      </c>
      <c r="I39" s="10" t="s">
        <v>355</v>
      </c>
      <c r="J39" s="29">
        <v>46133</v>
      </c>
      <c r="K39" s="6" t="s">
        <v>326</v>
      </c>
      <c r="L39" s="10" t="s">
        <v>356</v>
      </c>
      <c r="M39" s="24" t="s">
        <v>357</v>
      </c>
    </row>
    <row r="40" spans="1:13" ht="28" customHeight="1" x14ac:dyDescent="0.4">
      <c r="A40" s="25" t="s">
        <v>358</v>
      </c>
      <c r="B40" s="5" t="s">
        <v>318</v>
      </c>
      <c r="C40" s="5" t="s">
        <v>319</v>
      </c>
      <c r="D40" s="22" t="s">
        <v>359</v>
      </c>
      <c r="E40" s="22" t="s">
        <v>360</v>
      </c>
      <c r="F40" s="22" t="s">
        <v>361</v>
      </c>
      <c r="G40" s="22" t="s">
        <v>323</v>
      </c>
      <c r="H40" s="5" t="s">
        <v>324</v>
      </c>
      <c r="I40" s="5" t="s">
        <v>362</v>
      </c>
      <c r="J40" s="26">
        <v>46133</v>
      </c>
      <c r="K40" s="6" t="s">
        <v>326</v>
      </c>
      <c r="L40" s="5" t="s">
        <v>363</v>
      </c>
      <c r="M40" s="22" t="s">
        <v>364</v>
      </c>
    </row>
    <row r="41" spans="1:13" ht="28" customHeight="1" x14ac:dyDescent="0.4">
      <c r="A41" s="28" t="s">
        <v>365</v>
      </c>
      <c r="B41" s="10" t="s">
        <v>318</v>
      </c>
      <c r="C41" s="10" t="s">
        <v>319</v>
      </c>
      <c r="D41" s="24" t="s">
        <v>366</v>
      </c>
      <c r="E41" s="24" t="s">
        <v>367</v>
      </c>
      <c r="F41" s="24" t="s">
        <v>368</v>
      </c>
      <c r="G41" s="24" t="s">
        <v>323</v>
      </c>
      <c r="H41" s="10" t="s">
        <v>324</v>
      </c>
      <c r="I41" s="10" t="s">
        <v>369</v>
      </c>
      <c r="J41" s="29">
        <v>46133</v>
      </c>
      <c r="K41" s="6" t="s">
        <v>326</v>
      </c>
      <c r="L41" s="10" t="s">
        <v>370</v>
      </c>
      <c r="M41" s="24" t="s">
        <v>371</v>
      </c>
    </row>
    <row r="42" spans="1:13" ht="28" customHeight="1" x14ac:dyDescent="0.4">
      <c r="A42" s="25" t="s">
        <v>372</v>
      </c>
      <c r="B42" s="5" t="s">
        <v>318</v>
      </c>
      <c r="C42" s="5" t="s">
        <v>319</v>
      </c>
      <c r="D42" s="22" t="s">
        <v>373</v>
      </c>
      <c r="E42" s="22" t="s">
        <v>374</v>
      </c>
      <c r="F42" s="22" t="s">
        <v>375</v>
      </c>
      <c r="G42" s="22" t="s">
        <v>323</v>
      </c>
      <c r="H42" s="5" t="s">
        <v>324</v>
      </c>
      <c r="I42" s="5" t="s">
        <v>376</v>
      </c>
      <c r="J42" s="26">
        <v>46133</v>
      </c>
      <c r="K42" s="6" t="s">
        <v>326</v>
      </c>
      <c r="L42" s="5" t="s">
        <v>377</v>
      </c>
      <c r="M42" s="22" t="s">
        <v>378</v>
      </c>
    </row>
    <row r="43" spans="1:13" ht="28" customHeight="1" x14ac:dyDescent="0.4">
      <c r="A43" s="28" t="s">
        <v>379</v>
      </c>
      <c r="B43" s="10" t="s">
        <v>318</v>
      </c>
      <c r="C43" s="10" t="s">
        <v>319</v>
      </c>
      <c r="D43" s="24" t="s">
        <v>380</v>
      </c>
      <c r="E43" s="24" t="s">
        <v>381</v>
      </c>
      <c r="F43" s="24" t="s">
        <v>382</v>
      </c>
      <c r="G43" s="24" t="s">
        <v>323</v>
      </c>
      <c r="H43" s="10" t="s">
        <v>324</v>
      </c>
      <c r="I43" s="10" t="s">
        <v>383</v>
      </c>
      <c r="J43" s="29">
        <v>46134</v>
      </c>
      <c r="K43" s="6" t="s">
        <v>326</v>
      </c>
      <c r="L43" s="10" t="s">
        <v>341</v>
      </c>
      <c r="M43" s="24" t="s">
        <v>384</v>
      </c>
    </row>
    <row r="44" spans="1:13" ht="28" customHeight="1" x14ac:dyDescent="0.4">
      <c r="A44" s="25" t="s">
        <v>385</v>
      </c>
      <c r="B44" s="5" t="s">
        <v>318</v>
      </c>
      <c r="C44" s="5" t="s">
        <v>319</v>
      </c>
      <c r="D44" s="22" t="s">
        <v>386</v>
      </c>
      <c r="E44" s="22" t="s">
        <v>387</v>
      </c>
      <c r="F44" s="22" t="s">
        <v>388</v>
      </c>
      <c r="G44" s="22" t="s">
        <v>323</v>
      </c>
      <c r="H44" s="5" t="s">
        <v>324</v>
      </c>
      <c r="I44" s="5" t="s">
        <v>389</v>
      </c>
      <c r="J44" s="26">
        <v>46134</v>
      </c>
      <c r="K44" s="31" t="s">
        <v>390</v>
      </c>
      <c r="L44" s="5" t="s">
        <v>391</v>
      </c>
      <c r="M44" s="22" t="s">
        <v>392</v>
      </c>
    </row>
    <row r="45" spans="1:13" ht="28" customHeight="1" x14ac:dyDescent="0.4">
      <c r="A45" s="28" t="s">
        <v>393</v>
      </c>
      <c r="B45" s="10" t="s">
        <v>318</v>
      </c>
      <c r="C45" s="10" t="s">
        <v>319</v>
      </c>
      <c r="D45" s="24" t="s">
        <v>394</v>
      </c>
      <c r="E45" s="24" t="s">
        <v>395</v>
      </c>
      <c r="F45" s="24" t="s">
        <v>396</v>
      </c>
      <c r="G45" s="24" t="s">
        <v>323</v>
      </c>
      <c r="H45" s="10" t="s">
        <v>324</v>
      </c>
      <c r="I45" s="10" t="s">
        <v>397</v>
      </c>
      <c r="J45" s="29">
        <v>46134</v>
      </c>
      <c r="K45" s="6" t="s">
        <v>326</v>
      </c>
      <c r="L45" s="10" t="s">
        <v>398</v>
      </c>
      <c r="M45" s="24" t="s">
        <v>399</v>
      </c>
    </row>
    <row r="46" spans="1:13" ht="28" customHeight="1" x14ac:dyDescent="0.4">
      <c r="A46" s="25" t="s">
        <v>400</v>
      </c>
      <c r="B46" s="5" t="s">
        <v>318</v>
      </c>
      <c r="C46" s="5" t="s">
        <v>319</v>
      </c>
      <c r="D46" s="22" t="s">
        <v>401</v>
      </c>
      <c r="E46" s="22" t="s">
        <v>402</v>
      </c>
      <c r="F46" s="22" t="s">
        <v>403</v>
      </c>
      <c r="G46" s="22" t="s">
        <v>323</v>
      </c>
      <c r="H46" s="5" t="s">
        <v>324</v>
      </c>
      <c r="I46" s="5" t="s">
        <v>404</v>
      </c>
      <c r="J46" s="26">
        <v>46134</v>
      </c>
      <c r="K46" s="6" t="s">
        <v>326</v>
      </c>
      <c r="L46" s="5" t="s">
        <v>405</v>
      </c>
      <c r="M46" s="22" t="s">
        <v>406</v>
      </c>
    </row>
    <row r="47" spans="1:13" ht="28" customHeight="1" x14ac:dyDescent="0.4">
      <c r="A47" s="28" t="s">
        <v>407</v>
      </c>
      <c r="B47" s="10" t="s">
        <v>318</v>
      </c>
      <c r="C47" s="10" t="s">
        <v>319</v>
      </c>
      <c r="D47" s="24" t="s">
        <v>408</v>
      </c>
      <c r="E47" s="24" t="s">
        <v>409</v>
      </c>
      <c r="F47" s="24" t="s">
        <v>410</v>
      </c>
      <c r="G47" s="24" t="s">
        <v>323</v>
      </c>
      <c r="H47" s="10" t="s">
        <v>324</v>
      </c>
      <c r="I47" s="10" t="s">
        <v>411</v>
      </c>
      <c r="J47" s="29">
        <v>46134</v>
      </c>
      <c r="K47" s="15" t="s">
        <v>412</v>
      </c>
      <c r="L47" s="10" t="s">
        <v>391</v>
      </c>
      <c r="M47" s="24" t="s">
        <v>413</v>
      </c>
    </row>
    <row r="48" spans="1:13" ht="28" customHeight="1" x14ac:dyDescent="0.4">
      <c r="A48" s="25" t="s">
        <v>414</v>
      </c>
      <c r="B48" s="5" t="s">
        <v>318</v>
      </c>
      <c r="C48" s="5" t="s">
        <v>319</v>
      </c>
      <c r="D48" s="22" t="s">
        <v>415</v>
      </c>
      <c r="E48" s="22" t="s">
        <v>416</v>
      </c>
      <c r="F48" s="22" t="s">
        <v>417</v>
      </c>
      <c r="G48" s="22" t="s">
        <v>323</v>
      </c>
      <c r="H48" s="5" t="s">
        <v>324</v>
      </c>
      <c r="I48" s="5" t="s">
        <v>418</v>
      </c>
      <c r="J48" s="26">
        <v>46134</v>
      </c>
      <c r="K48" s="6" t="s">
        <v>326</v>
      </c>
      <c r="L48" s="5" t="s">
        <v>419</v>
      </c>
      <c r="M48" s="22" t="s">
        <v>420</v>
      </c>
    </row>
    <row r="49" spans="1:13" ht="28" customHeight="1" x14ac:dyDescent="0.4">
      <c r="A49" s="28" t="s">
        <v>421</v>
      </c>
      <c r="B49" s="10" t="s">
        <v>318</v>
      </c>
      <c r="C49" s="10" t="s">
        <v>319</v>
      </c>
      <c r="D49" s="24" t="s">
        <v>422</v>
      </c>
      <c r="E49" s="24" t="s">
        <v>423</v>
      </c>
      <c r="F49" s="24" t="s">
        <v>424</v>
      </c>
      <c r="G49" s="24" t="s">
        <v>323</v>
      </c>
      <c r="H49" s="10" t="s">
        <v>324</v>
      </c>
      <c r="I49" s="10" t="s">
        <v>425</v>
      </c>
      <c r="J49" s="29">
        <v>46134</v>
      </c>
      <c r="K49" s="6" t="s">
        <v>326</v>
      </c>
      <c r="L49" s="10" t="s">
        <v>426</v>
      </c>
      <c r="M49" s="24" t="s">
        <v>427</v>
      </c>
    </row>
    <row r="50" spans="1:13" ht="28" customHeight="1" x14ac:dyDescent="0.4">
      <c r="A50" s="25" t="s">
        <v>428</v>
      </c>
      <c r="B50" s="5" t="s">
        <v>318</v>
      </c>
      <c r="C50" s="5" t="s">
        <v>319</v>
      </c>
      <c r="D50" s="22" t="s">
        <v>429</v>
      </c>
      <c r="E50" s="22" t="s">
        <v>430</v>
      </c>
      <c r="F50" s="22" t="s">
        <v>431</v>
      </c>
      <c r="G50" s="22" t="s">
        <v>323</v>
      </c>
      <c r="H50" s="5" t="s">
        <v>324</v>
      </c>
      <c r="I50" s="5" t="s">
        <v>432</v>
      </c>
      <c r="J50" s="26">
        <v>46140</v>
      </c>
      <c r="K50" s="6" t="s">
        <v>326</v>
      </c>
      <c r="L50" s="5" t="s">
        <v>433</v>
      </c>
      <c r="M50" s="22" t="s">
        <v>434</v>
      </c>
    </row>
    <row r="51" spans="1:13" ht="28" customHeight="1" x14ac:dyDescent="0.4">
      <c r="A51" s="28" t="s">
        <v>435</v>
      </c>
      <c r="B51" s="10" t="s">
        <v>436</v>
      </c>
      <c r="C51" s="10" t="s">
        <v>437</v>
      </c>
      <c r="D51" s="24" t="s">
        <v>438</v>
      </c>
      <c r="E51" s="24" t="s">
        <v>439</v>
      </c>
      <c r="F51" s="24" t="s">
        <v>440</v>
      </c>
      <c r="G51" s="24" t="s">
        <v>440</v>
      </c>
      <c r="H51" s="10" t="s">
        <v>441</v>
      </c>
      <c r="I51" s="10" t="s">
        <v>442</v>
      </c>
      <c r="J51" s="29">
        <v>44725</v>
      </c>
      <c r="K51" s="6" t="s">
        <v>443</v>
      </c>
      <c r="L51" s="10" t="s">
        <v>444</v>
      </c>
      <c r="M51" s="24" t="s">
        <v>445</v>
      </c>
    </row>
    <row r="52" spans="1:13" ht="28" customHeight="1" x14ac:dyDescent="0.4">
      <c r="A52" s="25" t="s">
        <v>446</v>
      </c>
      <c r="B52" s="5" t="s">
        <v>436</v>
      </c>
      <c r="C52" s="5" t="s">
        <v>437</v>
      </c>
      <c r="D52" s="22" t="s">
        <v>447</v>
      </c>
      <c r="E52" s="22" t="s">
        <v>448</v>
      </c>
      <c r="F52" s="22" t="s">
        <v>449</v>
      </c>
      <c r="G52" s="22" t="s">
        <v>450</v>
      </c>
      <c r="H52" s="5" t="s">
        <v>441</v>
      </c>
      <c r="I52" s="5" t="s">
        <v>451</v>
      </c>
      <c r="J52" s="26">
        <v>45374</v>
      </c>
      <c r="K52" s="6" t="s">
        <v>443</v>
      </c>
      <c r="L52" s="5" t="s">
        <v>444</v>
      </c>
      <c r="M52" s="22" t="s">
        <v>452</v>
      </c>
    </row>
    <row r="53" spans="1:13" ht="28" customHeight="1" x14ac:dyDescent="0.4">
      <c r="A53" s="28" t="s">
        <v>453</v>
      </c>
      <c r="B53" s="10" t="s">
        <v>436</v>
      </c>
      <c r="C53" s="10" t="s">
        <v>454</v>
      </c>
      <c r="D53" s="24" t="s">
        <v>455</v>
      </c>
      <c r="E53" s="24" t="s">
        <v>456</v>
      </c>
      <c r="F53" s="24" t="s">
        <v>457</v>
      </c>
      <c r="G53" s="24" t="s">
        <v>458</v>
      </c>
      <c r="H53" s="10" t="s">
        <v>441</v>
      </c>
      <c r="I53" s="10" t="s">
        <v>459</v>
      </c>
      <c r="J53" s="29">
        <v>45307</v>
      </c>
      <c r="K53" s="11" t="s">
        <v>460</v>
      </c>
      <c r="L53" s="10" t="s">
        <v>461</v>
      </c>
      <c r="M53" s="24" t="s">
        <v>462</v>
      </c>
    </row>
    <row r="54" spans="1:13" ht="28" customHeight="1" x14ac:dyDescent="0.4">
      <c r="A54" s="25" t="s">
        <v>463</v>
      </c>
      <c r="B54" s="5" t="s">
        <v>436</v>
      </c>
      <c r="C54" s="5" t="s">
        <v>437</v>
      </c>
      <c r="D54" s="22" t="s">
        <v>464</v>
      </c>
      <c r="E54" s="22" t="s">
        <v>465</v>
      </c>
      <c r="F54" s="22" t="s">
        <v>466</v>
      </c>
      <c r="G54" s="22" t="s">
        <v>467</v>
      </c>
      <c r="H54" s="5" t="s">
        <v>441</v>
      </c>
      <c r="I54" s="5" t="s">
        <v>468</v>
      </c>
      <c r="J54" s="26">
        <v>45505</v>
      </c>
      <c r="K54" s="6" t="s">
        <v>443</v>
      </c>
      <c r="L54" s="5" t="s">
        <v>444</v>
      </c>
      <c r="M54" s="22" t="s">
        <v>469</v>
      </c>
    </row>
    <row r="55" spans="1:13" ht="28" customHeight="1" x14ac:dyDescent="0.4">
      <c r="A55" s="28" t="s">
        <v>470</v>
      </c>
      <c r="B55" s="10" t="s">
        <v>436</v>
      </c>
      <c r="C55" s="10" t="s">
        <v>437</v>
      </c>
      <c r="D55" s="24" t="s">
        <v>471</v>
      </c>
      <c r="E55" s="24" t="s">
        <v>472</v>
      </c>
      <c r="F55" s="24" t="s">
        <v>473</v>
      </c>
      <c r="G55" s="24" t="s">
        <v>474</v>
      </c>
      <c r="H55" s="10" t="s">
        <v>441</v>
      </c>
      <c r="I55" s="10" t="s">
        <v>475</v>
      </c>
      <c r="J55" s="29">
        <v>45021</v>
      </c>
      <c r="K55" s="6" t="s">
        <v>443</v>
      </c>
      <c r="L55" s="10" t="s">
        <v>444</v>
      </c>
      <c r="M55" s="24" t="s">
        <v>476</v>
      </c>
    </row>
    <row r="56" spans="1:13" ht="28" customHeight="1" x14ac:dyDescent="0.4">
      <c r="A56" s="25" t="s">
        <v>477</v>
      </c>
      <c r="B56" s="5" t="s">
        <v>436</v>
      </c>
      <c r="C56" s="5" t="s">
        <v>454</v>
      </c>
      <c r="D56" s="22" t="s">
        <v>478</v>
      </c>
      <c r="E56" s="22" t="s">
        <v>479</v>
      </c>
      <c r="F56" s="22" t="s">
        <v>480</v>
      </c>
      <c r="G56" s="22" t="s">
        <v>481</v>
      </c>
      <c r="H56" s="5" t="s">
        <v>441</v>
      </c>
      <c r="I56" s="5" t="s">
        <v>482</v>
      </c>
      <c r="J56" s="26">
        <v>45184</v>
      </c>
      <c r="K56" s="11" t="s">
        <v>460</v>
      </c>
      <c r="L56" s="5" t="s">
        <v>483</v>
      </c>
      <c r="M56" s="22" t="s">
        <v>484</v>
      </c>
    </row>
    <row r="57" spans="1:13" ht="28" customHeight="1" x14ac:dyDescent="0.4">
      <c r="A57" s="28" t="s">
        <v>485</v>
      </c>
      <c r="B57" s="10" t="s">
        <v>436</v>
      </c>
      <c r="C57" s="10" t="s">
        <v>437</v>
      </c>
      <c r="D57" s="24" t="s">
        <v>486</v>
      </c>
      <c r="E57" s="24" t="s">
        <v>487</v>
      </c>
      <c r="F57" s="24" t="s">
        <v>488</v>
      </c>
      <c r="G57" s="24" t="s">
        <v>489</v>
      </c>
      <c r="H57" s="10" t="s">
        <v>441</v>
      </c>
      <c r="I57" s="10" t="s">
        <v>490</v>
      </c>
      <c r="J57" s="29">
        <v>45272</v>
      </c>
      <c r="K57" s="6" t="s">
        <v>443</v>
      </c>
      <c r="L57" s="10" t="s">
        <v>444</v>
      </c>
      <c r="M57" s="24" t="s">
        <v>491</v>
      </c>
    </row>
    <row r="58" spans="1:13" ht="28" customHeight="1" x14ac:dyDescent="0.4">
      <c r="A58" s="25" t="s">
        <v>492</v>
      </c>
      <c r="B58" s="5" t="s">
        <v>436</v>
      </c>
      <c r="C58" s="5" t="s">
        <v>437</v>
      </c>
      <c r="D58" s="22" t="s">
        <v>493</v>
      </c>
      <c r="E58" s="22" t="s">
        <v>494</v>
      </c>
      <c r="F58" s="22" t="s">
        <v>495</v>
      </c>
      <c r="G58" s="22" t="s">
        <v>458</v>
      </c>
      <c r="H58" s="5" t="s">
        <v>441</v>
      </c>
      <c r="I58" s="5" t="s">
        <v>496</v>
      </c>
      <c r="J58" s="26">
        <v>45179</v>
      </c>
      <c r="K58" s="6" t="s">
        <v>443</v>
      </c>
      <c r="L58" s="5" t="s">
        <v>444</v>
      </c>
      <c r="M58" s="22" t="s">
        <v>497</v>
      </c>
    </row>
    <row r="59" spans="1:13" ht="28" customHeight="1" x14ac:dyDescent="0.4">
      <c r="A59" s="28" t="s">
        <v>498</v>
      </c>
      <c r="B59" s="10" t="s">
        <v>436</v>
      </c>
      <c r="C59" s="10" t="s">
        <v>437</v>
      </c>
      <c r="D59" s="24" t="s">
        <v>499</v>
      </c>
      <c r="E59" s="24" t="s">
        <v>500</v>
      </c>
      <c r="F59" s="24" t="s">
        <v>501</v>
      </c>
      <c r="G59" s="24" t="s">
        <v>502</v>
      </c>
      <c r="H59" s="10" t="s">
        <v>441</v>
      </c>
      <c r="I59" s="10" t="s">
        <v>503</v>
      </c>
      <c r="J59" s="29">
        <v>45324</v>
      </c>
      <c r="K59" s="6" t="s">
        <v>443</v>
      </c>
      <c r="L59" s="10" t="s">
        <v>444</v>
      </c>
      <c r="M59" s="24" t="s">
        <v>504</v>
      </c>
    </row>
    <row r="60" spans="1:13" ht="28" customHeight="1" x14ac:dyDescent="0.4">
      <c r="A60" s="25" t="s">
        <v>505</v>
      </c>
      <c r="B60" s="5" t="s">
        <v>436</v>
      </c>
      <c r="C60" s="5" t="s">
        <v>454</v>
      </c>
      <c r="D60" s="22" t="s">
        <v>506</v>
      </c>
      <c r="E60" s="22" t="s">
        <v>507</v>
      </c>
      <c r="F60" s="22" t="s">
        <v>508</v>
      </c>
      <c r="G60" s="22" t="s">
        <v>509</v>
      </c>
      <c r="H60" s="5" t="s">
        <v>441</v>
      </c>
      <c r="I60" s="5" t="s">
        <v>510</v>
      </c>
      <c r="J60" s="26">
        <v>45329</v>
      </c>
      <c r="K60" s="11" t="s">
        <v>460</v>
      </c>
      <c r="L60" s="5" t="s">
        <v>461</v>
      </c>
      <c r="M60" s="22" t="s">
        <v>511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8" customWidth="1"/>
    <col min="2" max="2" width="18" customWidth="1"/>
    <col min="3" max="3" width="38" customWidth="1"/>
    <col min="4" max="4" width="24" customWidth="1"/>
    <col min="5" max="5" width="26" customWidth="1"/>
    <col min="6" max="6" width="30" customWidth="1"/>
    <col min="7" max="7" width="36" customWidth="1"/>
    <col min="8" max="10" width="14" customWidth="1"/>
    <col min="11" max="11" width="16" customWidth="1"/>
    <col min="12" max="13" width="26" customWidth="1"/>
    <col min="14" max="14" width="40" customWidth="1"/>
  </cols>
  <sheetData>
    <row r="1" spans="1:14" ht="36" customHeight="1" x14ac:dyDescent="0.4">
      <c r="A1" s="63" t="s">
        <v>512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20.05" customHeight="1" x14ac:dyDescent="0.4">
      <c r="A2" s="66" t="s">
        <v>513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5" spans="1:14" ht="28" customHeight="1" x14ac:dyDescent="0.4">
      <c r="A5" s="1" t="s">
        <v>514</v>
      </c>
      <c r="B5" s="1" t="s">
        <v>515</v>
      </c>
      <c r="C5" s="1" t="s">
        <v>516</v>
      </c>
      <c r="D5" s="1" t="s">
        <v>517</v>
      </c>
      <c r="E5" s="1" t="s">
        <v>518</v>
      </c>
      <c r="F5" s="1" t="s">
        <v>519</v>
      </c>
      <c r="G5" s="1" t="s">
        <v>520</v>
      </c>
      <c r="H5" s="1" t="s">
        <v>521</v>
      </c>
      <c r="I5" s="1" t="s">
        <v>522</v>
      </c>
      <c r="J5" s="1" t="s">
        <v>523</v>
      </c>
      <c r="K5" s="1" t="s">
        <v>524</v>
      </c>
      <c r="L5" s="1" t="s">
        <v>525</v>
      </c>
      <c r="M5" s="1" t="s">
        <v>526</v>
      </c>
      <c r="N5" s="1" t="s">
        <v>527</v>
      </c>
    </row>
    <row r="6" spans="1:14" ht="28" customHeight="1" x14ac:dyDescent="0.4">
      <c r="A6" s="5">
        <v>1</v>
      </c>
      <c r="B6" s="25" t="s">
        <v>124</v>
      </c>
      <c r="C6" s="22" t="s">
        <v>119</v>
      </c>
      <c r="D6" s="22" t="s">
        <v>528</v>
      </c>
      <c r="E6" s="22" t="s">
        <v>121</v>
      </c>
      <c r="F6" s="22" t="s">
        <v>122</v>
      </c>
      <c r="G6" s="22" t="s">
        <v>529</v>
      </c>
      <c r="H6" s="26">
        <v>44762</v>
      </c>
      <c r="I6" s="5" t="s">
        <v>530</v>
      </c>
      <c r="J6" s="5" t="s">
        <v>531</v>
      </c>
      <c r="K6" s="5" t="s">
        <v>532</v>
      </c>
      <c r="L6" s="27" t="s">
        <v>125</v>
      </c>
      <c r="M6" s="32" t="s">
        <v>533</v>
      </c>
      <c r="N6" s="22" t="s">
        <v>534</v>
      </c>
    </row>
    <row r="7" spans="1:14" ht="28" customHeight="1" x14ac:dyDescent="0.4">
      <c r="A7" s="10">
        <v>2</v>
      </c>
      <c r="B7" s="28" t="s">
        <v>133</v>
      </c>
      <c r="C7" s="24" t="s">
        <v>129</v>
      </c>
      <c r="D7" s="24" t="s">
        <v>535</v>
      </c>
      <c r="E7" s="24" t="s">
        <v>131</v>
      </c>
      <c r="F7" s="24" t="s">
        <v>132</v>
      </c>
      <c r="G7" s="24" t="s">
        <v>536</v>
      </c>
      <c r="H7" s="29">
        <v>44856</v>
      </c>
      <c r="I7" s="29">
        <v>45408</v>
      </c>
      <c r="J7" s="10" t="s">
        <v>531</v>
      </c>
      <c r="K7" s="10" t="s">
        <v>532</v>
      </c>
      <c r="L7" s="30" t="s">
        <v>134</v>
      </c>
      <c r="M7" s="33" t="s">
        <v>506</v>
      </c>
      <c r="N7" s="24" t="s">
        <v>537</v>
      </c>
    </row>
    <row r="8" spans="1:14" ht="28" customHeight="1" x14ac:dyDescent="0.4">
      <c r="A8" s="5">
        <v>3</v>
      </c>
      <c r="B8" s="25" t="s">
        <v>142</v>
      </c>
      <c r="C8" s="22" t="s">
        <v>138</v>
      </c>
      <c r="D8" s="22" t="s">
        <v>538</v>
      </c>
      <c r="E8" s="22" t="s">
        <v>140</v>
      </c>
      <c r="F8" s="22" t="s">
        <v>141</v>
      </c>
      <c r="G8" s="22" t="s">
        <v>539</v>
      </c>
      <c r="H8" s="26">
        <v>44925</v>
      </c>
      <c r="I8" s="26">
        <v>45660</v>
      </c>
      <c r="J8" s="5" t="s">
        <v>531</v>
      </c>
      <c r="K8" s="5" t="s">
        <v>532</v>
      </c>
      <c r="L8" s="30" t="s">
        <v>134</v>
      </c>
      <c r="M8" s="32" t="s">
        <v>499</v>
      </c>
      <c r="N8" s="22" t="s">
        <v>540</v>
      </c>
    </row>
    <row r="9" spans="1:14" ht="28" customHeight="1" x14ac:dyDescent="0.4">
      <c r="A9" s="10">
        <v>4</v>
      </c>
      <c r="B9" s="28" t="s">
        <v>150</v>
      </c>
      <c r="C9" s="24" t="s">
        <v>146</v>
      </c>
      <c r="D9" s="24" t="s">
        <v>541</v>
      </c>
      <c r="E9" s="24" t="s">
        <v>148</v>
      </c>
      <c r="F9" s="24" t="s">
        <v>149</v>
      </c>
      <c r="G9" s="24" t="s">
        <v>542</v>
      </c>
      <c r="H9" s="29">
        <v>45509</v>
      </c>
      <c r="I9" s="29">
        <v>45898</v>
      </c>
      <c r="J9" s="10" t="s">
        <v>531</v>
      </c>
      <c r="K9" s="10" t="s">
        <v>543</v>
      </c>
      <c r="L9" s="11" t="s">
        <v>29</v>
      </c>
      <c r="M9" s="34" t="s">
        <v>531</v>
      </c>
      <c r="N9" s="24" t="s">
        <v>544</v>
      </c>
    </row>
    <row r="10" spans="1:14" ht="28" customHeight="1" x14ac:dyDescent="0.4">
      <c r="A10" s="5">
        <v>5</v>
      </c>
      <c r="B10" s="25" t="s">
        <v>159</v>
      </c>
      <c r="C10" s="22" t="s">
        <v>155</v>
      </c>
      <c r="D10" s="22" t="s">
        <v>545</v>
      </c>
      <c r="E10" s="22" t="s">
        <v>157</v>
      </c>
      <c r="F10" s="22" t="s">
        <v>158</v>
      </c>
      <c r="G10" s="22" t="s">
        <v>546</v>
      </c>
      <c r="H10" s="26">
        <v>45411</v>
      </c>
      <c r="I10" s="5" t="s">
        <v>530</v>
      </c>
      <c r="J10" s="5" t="s">
        <v>531</v>
      </c>
      <c r="K10" s="5" t="s">
        <v>547</v>
      </c>
      <c r="L10" s="27" t="s">
        <v>160</v>
      </c>
      <c r="M10" s="32" t="s">
        <v>455</v>
      </c>
      <c r="N10" s="22" t="s">
        <v>548</v>
      </c>
    </row>
    <row r="11" spans="1:14" ht="28" customHeight="1" x14ac:dyDescent="0.4">
      <c r="A11" s="10">
        <v>6</v>
      </c>
      <c r="B11" s="28" t="s">
        <v>166</v>
      </c>
      <c r="C11" s="24" t="s">
        <v>163</v>
      </c>
      <c r="D11" s="24" t="s">
        <v>549</v>
      </c>
      <c r="E11" s="24" t="s">
        <v>140</v>
      </c>
      <c r="F11" s="24" t="s">
        <v>165</v>
      </c>
      <c r="G11" s="24" t="s">
        <v>550</v>
      </c>
      <c r="H11" s="29">
        <v>45505</v>
      </c>
      <c r="I11" s="10" t="s">
        <v>530</v>
      </c>
      <c r="J11" s="10" t="s">
        <v>531</v>
      </c>
      <c r="K11" s="10" t="s">
        <v>551</v>
      </c>
      <c r="L11" s="13" t="s">
        <v>167</v>
      </c>
      <c r="M11" s="33" t="s">
        <v>499</v>
      </c>
      <c r="N11" s="24" t="s">
        <v>552</v>
      </c>
    </row>
    <row r="12" spans="1:14" ht="28" customHeight="1" x14ac:dyDescent="0.4">
      <c r="A12" s="5">
        <v>7</v>
      </c>
      <c r="B12" s="25" t="s">
        <v>174</v>
      </c>
      <c r="C12" s="22" t="s">
        <v>170</v>
      </c>
      <c r="D12" s="22" t="s">
        <v>553</v>
      </c>
      <c r="E12" s="22" t="s">
        <v>172</v>
      </c>
      <c r="F12" s="22" t="s">
        <v>173</v>
      </c>
      <c r="G12" s="22" t="s">
        <v>554</v>
      </c>
      <c r="H12" s="26">
        <v>45573</v>
      </c>
      <c r="I12" s="26">
        <v>45996</v>
      </c>
      <c r="J12" s="5" t="s">
        <v>531</v>
      </c>
      <c r="K12" s="5" t="s">
        <v>543</v>
      </c>
      <c r="L12" s="11" t="s">
        <v>29</v>
      </c>
      <c r="M12" s="35" t="s">
        <v>531</v>
      </c>
      <c r="N12" s="22" t="s">
        <v>555</v>
      </c>
    </row>
    <row r="13" spans="1:14" ht="28" customHeight="1" x14ac:dyDescent="0.4">
      <c r="A13" s="10">
        <v>8</v>
      </c>
      <c r="B13" s="28" t="s">
        <v>181</v>
      </c>
      <c r="C13" s="24" t="s">
        <v>177</v>
      </c>
      <c r="D13" s="24" t="s">
        <v>556</v>
      </c>
      <c r="E13" s="24" t="s">
        <v>179</v>
      </c>
      <c r="F13" s="24" t="s">
        <v>180</v>
      </c>
      <c r="G13" s="24" t="s">
        <v>557</v>
      </c>
      <c r="H13" s="29">
        <v>45764</v>
      </c>
      <c r="I13" s="29">
        <v>45786</v>
      </c>
      <c r="J13" s="10" t="s">
        <v>531</v>
      </c>
      <c r="K13" s="10" t="s">
        <v>543</v>
      </c>
      <c r="L13" s="11" t="s">
        <v>29</v>
      </c>
      <c r="M13" s="33" t="s">
        <v>471</v>
      </c>
      <c r="N13" s="24" t="s">
        <v>558</v>
      </c>
    </row>
    <row r="14" spans="1:14" ht="28" customHeight="1" x14ac:dyDescent="0.4">
      <c r="A14" s="5">
        <v>9</v>
      </c>
      <c r="B14" s="25" t="s">
        <v>187</v>
      </c>
      <c r="C14" s="22" t="s">
        <v>185</v>
      </c>
      <c r="D14" s="22" t="s">
        <v>559</v>
      </c>
      <c r="E14" s="22" t="s">
        <v>179</v>
      </c>
      <c r="F14" s="22" t="s">
        <v>180</v>
      </c>
      <c r="G14" s="22" t="s">
        <v>557</v>
      </c>
      <c r="H14" s="26">
        <v>45768</v>
      </c>
      <c r="I14" s="26">
        <v>45786</v>
      </c>
      <c r="J14" s="5" t="s">
        <v>531</v>
      </c>
      <c r="K14" s="5" t="s">
        <v>543</v>
      </c>
      <c r="L14" s="11" t="s">
        <v>29</v>
      </c>
      <c r="M14" s="32" t="s">
        <v>471</v>
      </c>
      <c r="N14" s="22" t="s">
        <v>560</v>
      </c>
    </row>
    <row r="15" spans="1:14" ht="28" customHeight="1" x14ac:dyDescent="0.4">
      <c r="A15" s="10">
        <v>10</v>
      </c>
      <c r="B15" s="28" t="s">
        <v>193</v>
      </c>
      <c r="C15" s="24" t="s">
        <v>189</v>
      </c>
      <c r="D15" s="24" t="s">
        <v>561</v>
      </c>
      <c r="E15" s="24" t="s">
        <v>191</v>
      </c>
      <c r="F15" s="24" t="s">
        <v>192</v>
      </c>
      <c r="G15" s="24" t="s">
        <v>562</v>
      </c>
      <c r="H15" s="29">
        <v>45772</v>
      </c>
      <c r="I15" s="29">
        <v>45793</v>
      </c>
      <c r="J15" s="10" t="s">
        <v>531</v>
      </c>
      <c r="K15" s="10" t="s">
        <v>543</v>
      </c>
      <c r="L15" s="11" t="s">
        <v>29</v>
      </c>
      <c r="M15" s="34" t="s">
        <v>531</v>
      </c>
      <c r="N15" s="24" t="s">
        <v>563</v>
      </c>
    </row>
    <row r="16" spans="1:14" ht="28" customHeight="1" x14ac:dyDescent="0.4">
      <c r="A16" s="5">
        <v>11</v>
      </c>
      <c r="B16" s="25" t="s">
        <v>199</v>
      </c>
      <c r="C16" s="22" t="s">
        <v>196</v>
      </c>
      <c r="D16" s="22" t="s">
        <v>564</v>
      </c>
      <c r="E16" s="22" t="s">
        <v>140</v>
      </c>
      <c r="F16" s="22" t="s">
        <v>198</v>
      </c>
      <c r="G16" s="22" t="s">
        <v>565</v>
      </c>
      <c r="H16" s="26">
        <v>45773</v>
      </c>
      <c r="I16" s="5" t="s">
        <v>530</v>
      </c>
      <c r="J16" s="5" t="s">
        <v>531</v>
      </c>
      <c r="K16" s="5" t="s">
        <v>566</v>
      </c>
      <c r="L16" s="13" t="s">
        <v>200</v>
      </c>
      <c r="M16" s="32" t="s">
        <v>499</v>
      </c>
      <c r="N16" s="22" t="s">
        <v>567</v>
      </c>
    </row>
    <row r="17" spans="1:14" ht="28" customHeight="1" x14ac:dyDescent="0.4">
      <c r="A17" s="10">
        <v>12</v>
      </c>
      <c r="B17" s="28" t="s">
        <v>207</v>
      </c>
      <c r="C17" s="24" t="s">
        <v>203</v>
      </c>
      <c r="D17" s="24" t="s">
        <v>568</v>
      </c>
      <c r="E17" s="24" t="s">
        <v>205</v>
      </c>
      <c r="F17" s="24" t="s">
        <v>206</v>
      </c>
      <c r="G17" s="24" t="s">
        <v>569</v>
      </c>
      <c r="H17" s="29">
        <v>45776</v>
      </c>
      <c r="I17" s="29">
        <v>45793</v>
      </c>
      <c r="J17" s="29">
        <v>46006</v>
      </c>
      <c r="K17" s="10" t="s">
        <v>570</v>
      </c>
      <c r="L17" s="31" t="s">
        <v>208</v>
      </c>
      <c r="M17" s="34" t="s">
        <v>531</v>
      </c>
      <c r="N17" s="24" t="s">
        <v>571</v>
      </c>
    </row>
    <row r="18" spans="1:14" ht="28" customHeight="1" x14ac:dyDescent="0.4">
      <c r="A18" s="5">
        <v>13</v>
      </c>
      <c r="B18" s="25" t="s">
        <v>216</v>
      </c>
      <c r="C18" s="22" t="s">
        <v>212</v>
      </c>
      <c r="D18" s="22" t="s">
        <v>572</v>
      </c>
      <c r="E18" s="22" t="s">
        <v>214</v>
      </c>
      <c r="F18" s="22" t="s">
        <v>215</v>
      </c>
      <c r="G18" s="22" t="s">
        <v>573</v>
      </c>
      <c r="H18" s="26">
        <v>45789</v>
      </c>
      <c r="I18" s="26">
        <v>45996</v>
      </c>
      <c r="J18" s="5" t="s">
        <v>531</v>
      </c>
      <c r="K18" s="5" t="s">
        <v>543</v>
      </c>
      <c r="L18" s="11" t="s">
        <v>29</v>
      </c>
      <c r="M18" s="35" t="s">
        <v>531</v>
      </c>
      <c r="N18" s="22" t="s">
        <v>574</v>
      </c>
    </row>
    <row r="19" spans="1:14" ht="28" customHeight="1" x14ac:dyDescent="0.4">
      <c r="A19" s="10">
        <v>14</v>
      </c>
      <c r="B19" s="28" t="s">
        <v>220</v>
      </c>
      <c r="C19" s="24" t="s">
        <v>218</v>
      </c>
      <c r="D19" s="24" t="s">
        <v>575</v>
      </c>
      <c r="E19" s="24" t="s">
        <v>205</v>
      </c>
      <c r="F19" s="24" t="s">
        <v>206</v>
      </c>
      <c r="G19" s="24" t="s">
        <v>569</v>
      </c>
      <c r="H19" s="29">
        <v>45791</v>
      </c>
      <c r="I19" s="29">
        <v>45807</v>
      </c>
      <c r="J19" s="29">
        <v>46070</v>
      </c>
      <c r="K19" s="10" t="s">
        <v>221</v>
      </c>
      <c r="L19" s="6" t="s">
        <v>221</v>
      </c>
      <c r="M19" s="34" t="s">
        <v>531</v>
      </c>
      <c r="N19" s="24" t="s">
        <v>576</v>
      </c>
    </row>
    <row r="20" spans="1:14" ht="28" customHeight="1" x14ac:dyDescent="0.4">
      <c r="A20" s="5">
        <v>15</v>
      </c>
      <c r="B20" s="25" t="s">
        <v>229</v>
      </c>
      <c r="C20" s="22" t="s">
        <v>225</v>
      </c>
      <c r="D20" s="22" t="s">
        <v>577</v>
      </c>
      <c r="E20" s="22" t="s">
        <v>227</v>
      </c>
      <c r="F20" s="22" t="s">
        <v>228</v>
      </c>
      <c r="G20" s="22" t="s">
        <v>578</v>
      </c>
      <c r="H20" s="26">
        <v>45835</v>
      </c>
      <c r="I20" s="5" t="s">
        <v>530</v>
      </c>
      <c r="J20" s="5" t="s">
        <v>531</v>
      </c>
      <c r="K20" s="5" t="s">
        <v>566</v>
      </c>
      <c r="L20" s="13" t="s">
        <v>200</v>
      </c>
      <c r="M20" s="32" t="s">
        <v>493</v>
      </c>
      <c r="N20" s="22" t="s">
        <v>579</v>
      </c>
    </row>
    <row r="21" spans="1:14" ht="28" customHeight="1" x14ac:dyDescent="0.4">
      <c r="A21" s="10">
        <v>16</v>
      </c>
      <c r="B21" s="28" t="s">
        <v>235</v>
      </c>
      <c r="C21" s="24" t="s">
        <v>232</v>
      </c>
      <c r="D21" s="24" t="s">
        <v>580</v>
      </c>
      <c r="E21" s="24" t="s">
        <v>205</v>
      </c>
      <c r="F21" s="24" t="s">
        <v>234</v>
      </c>
      <c r="G21" s="24" t="s">
        <v>581</v>
      </c>
      <c r="H21" s="29">
        <v>45846</v>
      </c>
      <c r="I21" s="29">
        <v>45898</v>
      </c>
      <c r="J21" s="29">
        <v>46106</v>
      </c>
      <c r="K21" s="10" t="s">
        <v>221</v>
      </c>
      <c r="L21" s="6" t="s">
        <v>221</v>
      </c>
      <c r="M21" s="34" t="s">
        <v>531</v>
      </c>
      <c r="N21" s="24" t="s">
        <v>582</v>
      </c>
    </row>
    <row r="22" spans="1:14" ht="28" customHeight="1" x14ac:dyDescent="0.4">
      <c r="A22" s="5">
        <v>17</v>
      </c>
      <c r="B22" s="25" t="s">
        <v>240</v>
      </c>
      <c r="C22" s="22" t="s">
        <v>238</v>
      </c>
      <c r="D22" s="22" t="s">
        <v>583</v>
      </c>
      <c r="E22" s="22" t="s">
        <v>205</v>
      </c>
      <c r="F22" s="22" t="s">
        <v>234</v>
      </c>
      <c r="G22" s="22" t="s">
        <v>581</v>
      </c>
      <c r="H22" s="26">
        <v>45868</v>
      </c>
      <c r="I22" s="26">
        <v>45905</v>
      </c>
      <c r="J22" s="5" t="s">
        <v>531</v>
      </c>
      <c r="K22" s="5" t="s">
        <v>584</v>
      </c>
      <c r="L22" s="11" t="s">
        <v>35</v>
      </c>
      <c r="M22" s="35" t="s">
        <v>531</v>
      </c>
      <c r="N22" s="22" t="s">
        <v>585</v>
      </c>
    </row>
    <row r="23" spans="1:14" ht="28" customHeight="1" x14ac:dyDescent="0.4">
      <c r="A23" s="10">
        <v>18</v>
      </c>
      <c r="B23" s="28" t="s">
        <v>247</v>
      </c>
      <c r="C23" s="24" t="s">
        <v>244</v>
      </c>
      <c r="D23" s="24" t="s">
        <v>586</v>
      </c>
      <c r="E23" s="24" t="s">
        <v>191</v>
      </c>
      <c r="F23" s="24" t="s">
        <v>246</v>
      </c>
      <c r="G23" s="24" t="s">
        <v>562</v>
      </c>
      <c r="H23" s="29">
        <v>45897</v>
      </c>
      <c r="I23" s="29">
        <v>45996</v>
      </c>
      <c r="J23" s="10" t="s">
        <v>531</v>
      </c>
      <c r="K23" s="10" t="s">
        <v>543</v>
      </c>
      <c r="L23" s="11" t="s">
        <v>29</v>
      </c>
      <c r="M23" s="34" t="s">
        <v>531</v>
      </c>
      <c r="N23" s="24" t="s">
        <v>587</v>
      </c>
    </row>
    <row r="24" spans="1:14" ht="28" customHeight="1" x14ac:dyDescent="0.4">
      <c r="A24" s="5">
        <v>19</v>
      </c>
      <c r="B24" s="25" t="s">
        <v>253</v>
      </c>
      <c r="C24" s="22" t="s">
        <v>249</v>
      </c>
      <c r="D24" s="22" t="s">
        <v>588</v>
      </c>
      <c r="E24" s="22" t="s">
        <v>251</v>
      </c>
      <c r="F24" s="22" t="s">
        <v>252</v>
      </c>
      <c r="G24" s="22" t="s">
        <v>589</v>
      </c>
      <c r="H24" s="26">
        <v>45959</v>
      </c>
      <c r="I24" s="5" t="s">
        <v>530</v>
      </c>
      <c r="J24" s="5" t="s">
        <v>531</v>
      </c>
      <c r="K24" s="5" t="s">
        <v>566</v>
      </c>
      <c r="L24" s="13" t="s">
        <v>200</v>
      </c>
      <c r="M24" s="35" t="s">
        <v>531</v>
      </c>
      <c r="N24" s="22" t="s">
        <v>590</v>
      </c>
    </row>
    <row r="25" spans="1:14" ht="28" customHeight="1" x14ac:dyDescent="0.4">
      <c r="A25" s="10">
        <v>20</v>
      </c>
      <c r="B25" s="28" t="s">
        <v>260</v>
      </c>
      <c r="C25" s="24" t="s">
        <v>256</v>
      </c>
      <c r="D25" s="24" t="s">
        <v>591</v>
      </c>
      <c r="E25" s="24" t="s">
        <v>258</v>
      </c>
      <c r="F25" s="24" t="s">
        <v>259</v>
      </c>
      <c r="G25" s="24" t="s">
        <v>592</v>
      </c>
      <c r="H25" s="29">
        <v>45961</v>
      </c>
      <c r="I25" s="29">
        <v>46003</v>
      </c>
      <c r="J25" s="29">
        <v>46188</v>
      </c>
      <c r="K25" s="10" t="s">
        <v>221</v>
      </c>
      <c r="L25" s="6" t="s">
        <v>221</v>
      </c>
      <c r="M25" s="34" t="s">
        <v>531</v>
      </c>
      <c r="N25" s="24" t="s">
        <v>593</v>
      </c>
    </row>
    <row r="26" spans="1:14" ht="28" customHeight="1" x14ac:dyDescent="0.4">
      <c r="A26" s="5">
        <v>21</v>
      </c>
      <c r="B26" s="25" t="s">
        <v>267</v>
      </c>
      <c r="C26" s="22" t="s">
        <v>263</v>
      </c>
      <c r="D26" s="22" t="s">
        <v>594</v>
      </c>
      <c r="E26" s="22" t="s">
        <v>265</v>
      </c>
      <c r="F26" s="22" t="s">
        <v>266</v>
      </c>
      <c r="G26" s="22" t="s">
        <v>595</v>
      </c>
      <c r="H26" s="26">
        <v>45965</v>
      </c>
      <c r="I26" s="26">
        <v>46017</v>
      </c>
      <c r="J26" s="5" t="s">
        <v>531</v>
      </c>
      <c r="K26" s="5" t="s">
        <v>268</v>
      </c>
      <c r="L26" s="11" t="s">
        <v>268</v>
      </c>
      <c r="M26" s="35" t="s">
        <v>531</v>
      </c>
      <c r="N26" s="22" t="s">
        <v>596</v>
      </c>
    </row>
    <row r="27" spans="1:14" ht="28" customHeight="1" x14ac:dyDescent="0.4">
      <c r="A27" s="10">
        <v>22</v>
      </c>
      <c r="B27" s="28" t="s">
        <v>276</v>
      </c>
      <c r="C27" s="24" t="s">
        <v>272</v>
      </c>
      <c r="D27" s="24" t="s">
        <v>597</v>
      </c>
      <c r="E27" s="24" t="s">
        <v>274</v>
      </c>
      <c r="F27" s="24" t="s">
        <v>275</v>
      </c>
      <c r="G27" s="24" t="s">
        <v>598</v>
      </c>
      <c r="H27" s="29">
        <v>45967</v>
      </c>
      <c r="I27" s="10" t="s">
        <v>530</v>
      </c>
      <c r="J27" s="10" t="s">
        <v>531</v>
      </c>
      <c r="K27" s="10" t="s">
        <v>134</v>
      </c>
      <c r="L27" s="30" t="s">
        <v>134</v>
      </c>
      <c r="M27" s="34" t="s">
        <v>531</v>
      </c>
      <c r="N27" s="24" t="s">
        <v>599</v>
      </c>
    </row>
    <row r="28" spans="1:14" ht="28" customHeight="1" x14ac:dyDescent="0.4">
      <c r="A28" s="5">
        <v>23</v>
      </c>
      <c r="B28" s="25" t="s">
        <v>283</v>
      </c>
      <c r="C28" s="22" t="s">
        <v>279</v>
      </c>
      <c r="D28" s="22" t="s">
        <v>600</v>
      </c>
      <c r="E28" s="22" t="s">
        <v>281</v>
      </c>
      <c r="F28" s="22" t="s">
        <v>282</v>
      </c>
      <c r="G28" s="22" t="s">
        <v>601</v>
      </c>
      <c r="H28" s="26">
        <v>45971</v>
      </c>
      <c r="I28" s="26">
        <v>46052</v>
      </c>
      <c r="J28" s="5" t="s">
        <v>531</v>
      </c>
      <c r="K28" s="5" t="s">
        <v>584</v>
      </c>
      <c r="L28" s="11" t="s">
        <v>35</v>
      </c>
      <c r="M28" s="32" t="s">
        <v>464</v>
      </c>
      <c r="N28" s="22" t="s">
        <v>602</v>
      </c>
    </row>
    <row r="29" spans="1:14" ht="28" customHeight="1" x14ac:dyDescent="0.4">
      <c r="A29" s="10">
        <v>24</v>
      </c>
      <c r="B29" s="28" t="s">
        <v>291</v>
      </c>
      <c r="C29" s="24" t="s">
        <v>287</v>
      </c>
      <c r="D29" s="24" t="s">
        <v>603</v>
      </c>
      <c r="E29" s="24" t="s">
        <v>289</v>
      </c>
      <c r="F29" s="24" t="s">
        <v>290</v>
      </c>
      <c r="G29" s="24" t="s">
        <v>604</v>
      </c>
      <c r="H29" s="29">
        <v>45980</v>
      </c>
      <c r="I29" s="10" t="s">
        <v>530</v>
      </c>
      <c r="J29" s="10" t="s">
        <v>531</v>
      </c>
      <c r="K29" s="10" t="s">
        <v>605</v>
      </c>
      <c r="L29" s="11" t="s">
        <v>35</v>
      </c>
      <c r="M29" s="34" t="s">
        <v>531</v>
      </c>
      <c r="N29" s="24" t="s">
        <v>606</v>
      </c>
    </row>
    <row r="30" spans="1:14" ht="28" customHeight="1" x14ac:dyDescent="0.4">
      <c r="A30" s="5">
        <v>25</v>
      </c>
      <c r="B30" s="25" t="s">
        <v>298</v>
      </c>
      <c r="C30" s="22" t="s">
        <v>294</v>
      </c>
      <c r="D30" s="22" t="s">
        <v>577</v>
      </c>
      <c r="E30" s="22" t="s">
        <v>296</v>
      </c>
      <c r="F30" s="22" t="s">
        <v>297</v>
      </c>
      <c r="G30" s="22" t="s">
        <v>607</v>
      </c>
      <c r="H30" s="26">
        <v>45986</v>
      </c>
      <c r="I30" s="5" t="s">
        <v>530</v>
      </c>
      <c r="J30" s="5" t="s">
        <v>531</v>
      </c>
      <c r="K30" s="5" t="s">
        <v>608</v>
      </c>
      <c r="L30" s="11" t="s">
        <v>299</v>
      </c>
      <c r="M30" s="35" t="s">
        <v>531</v>
      </c>
      <c r="N30" s="22" t="s">
        <v>609</v>
      </c>
    </row>
    <row r="31" spans="1:14" ht="28" customHeight="1" x14ac:dyDescent="0.4">
      <c r="A31" s="10">
        <v>26</v>
      </c>
      <c r="B31" s="28" t="s">
        <v>305</v>
      </c>
      <c r="C31" s="24" t="s">
        <v>302</v>
      </c>
      <c r="D31" s="24" t="s">
        <v>610</v>
      </c>
      <c r="E31" s="24" t="s">
        <v>172</v>
      </c>
      <c r="F31" s="24" t="s">
        <v>304</v>
      </c>
      <c r="G31" s="24" t="s">
        <v>611</v>
      </c>
      <c r="H31" s="29">
        <v>46007</v>
      </c>
      <c r="I31" s="10" t="s">
        <v>530</v>
      </c>
      <c r="J31" s="10" t="s">
        <v>531</v>
      </c>
      <c r="K31" s="10" t="s">
        <v>612</v>
      </c>
      <c r="L31" s="11" t="s">
        <v>299</v>
      </c>
      <c r="M31" s="34" t="s">
        <v>531</v>
      </c>
      <c r="N31" s="24" t="s">
        <v>613</v>
      </c>
    </row>
    <row r="32" spans="1:14" ht="28" customHeight="1" x14ac:dyDescent="0.4">
      <c r="A32" s="5">
        <v>27</v>
      </c>
      <c r="B32" s="25" t="s">
        <v>207</v>
      </c>
      <c r="C32" s="22" t="s">
        <v>203</v>
      </c>
      <c r="D32" s="22" t="s">
        <v>568</v>
      </c>
      <c r="E32" s="22" t="s">
        <v>205</v>
      </c>
      <c r="F32" s="22" t="s">
        <v>206</v>
      </c>
      <c r="G32" s="22" t="s">
        <v>569</v>
      </c>
      <c r="H32" s="26">
        <v>45776</v>
      </c>
      <c r="I32" s="26">
        <v>45793</v>
      </c>
      <c r="J32" s="26">
        <v>46006</v>
      </c>
      <c r="K32" s="5" t="s">
        <v>221</v>
      </c>
      <c r="L32" s="6" t="s">
        <v>221</v>
      </c>
      <c r="M32" s="35" t="s">
        <v>531</v>
      </c>
      <c r="N32" s="22" t="s">
        <v>614</v>
      </c>
    </row>
    <row r="33" spans="1:14" ht="28" customHeight="1" x14ac:dyDescent="0.4">
      <c r="A33" s="10">
        <v>28</v>
      </c>
      <c r="B33" s="28" t="s">
        <v>314</v>
      </c>
      <c r="C33" s="24" t="s">
        <v>311</v>
      </c>
      <c r="D33" s="24" t="s">
        <v>615</v>
      </c>
      <c r="E33" s="24" t="s">
        <v>274</v>
      </c>
      <c r="F33" s="24" t="s">
        <v>313</v>
      </c>
      <c r="G33" s="24" t="s">
        <v>598</v>
      </c>
      <c r="H33" s="29">
        <v>45967</v>
      </c>
      <c r="I33" s="10" t="s">
        <v>530</v>
      </c>
      <c r="J33" s="10" t="s">
        <v>531</v>
      </c>
      <c r="K33" s="10" t="s">
        <v>532</v>
      </c>
      <c r="L33" s="27" t="s">
        <v>315</v>
      </c>
      <c r="M33" s="34" t="s">
        <v>531</v>
      </c>
      <c r="N33" s="24" t="s">
        <v>616</v>
      </c>
    </row>
    <row r="34" spans="1:14" ht="24" customHeight="1" x14ac:dyDescent="0.4">
      <c r="A34" s="36" t="s">
        <v>617</v>
      </c>
      <c r="B34" s="19">
        <f>COUNTA(B6:B33)</f>
        <v>28</v>
      </c>
      <c r="C34" s="37" t="s">
        <v>7</v>
      </c>
      <c r="D34" s="37" t="s">
        <v>618</v>
      </c>
      <c r="E34" s="38"/>
      <c r="F34" s="38"/>
      <c r="G34" s="38"/>
      <c r="H34" s="38"/>
      <c r="I34" s="38"/>
      <c r="J34" s="36" t="s">
        <v>619</v>
      </c>
      <c r="K34" s="38"/>
      <c r="L34" s="19" t="str">
        <f>COUNTIF(L6:L33, "Granted") &amp; " Granted Patents"</f>
        <v>4 Granted Patents</v>
      </c>
      <c r="M34" s="38"/>
      <c r="N34" s="38"/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8" customWidth="1"/>
    <col min="2" max="2" width="25" customWidth="1"/>
    <col min="3" max="3" width="16" customWidth="1"/>
    <col min="4" max="4" width="26" customWidth="1"/>
    <col min="5" max="5" width="14" customWidth="1"/>
    <col min="6" max="6" width="16" customWidth="1"/>
    <col min="7" max="7" width="15" customWidth="1"/>
    <col min="8" max="8" width="18" customWidth="1"/>
    <col min="9" max="9" width="16" customWidth="1"/>
    <col min="10" max="10" width="45" customWidth="1"/>
    <col min="11" max="11" width="22" customWidth="1"/>
    <col min="12" max="12" width="24" customWidth="1"/>
    <col min="13" max="13" width="38" customWidth="1"/>
  </cols>
  <sheetData>
    <row r="1" spans="1:13" ht="36" customHeight="1" x14ac:dyDescent="0.4">
      <c r="A1" s="63" t="s">
        <v>620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20.05" customHeight="1" x14ac:dyDescent="0.4">
      <c r="A2" s="66" t="s">
        <v>621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5" spans="1:13" ht="28" customHeight="1" x14ac:dyDescent="0.4">
      <c r="A5" s="1" t="s">
        <v>514</v>
      </c>
      <c r="B5" s="1" t="s">
        <v>622</v>
      </c>
      <c r="C5" s="1" t="s">
        <v>623</v>
      </c>
      <c r="D5" s="1" t="s">
        <v>624</v>
      </c>
      <c r="E5" s="1" t="s">
        <v>625</v>
      </c>
      <c r="F5" s="1" t="s">
        <v>626</v>
      </c>
      <c r="G5" s="1" t="s">
        <v>627</v>
      </c>
      <c r="H5" s="1" t="s">
        <v>628</v>
      </c>
      <c r="I5" s="1" t="s">
        <v>629</v>
      </c>
      <c r="J5" s="1" t="s">
        <v>630</v>
      </c>
      <c r="K5" s="1" t="s">
        <v>631</v>
      </c>
      <c r="L5" s="1" t="s">
        <v>632</v>
      </c>
      <c r="M5" s="1" t="s">
        <v>633</v>
      </c>
    </row>
    <row r="6" spans="1:13" ht="26.05" customHeight="1" x14ac:dyDescent="0.4">
      <c r="A6" s="5">
        <v>1</v>
      </c>
      <c r="B6" s="21" t="s">
        <v>322</v>
      </c>
      <c r="C6" s="25" t="s">
        <v>325</v>
      </c>
      <c r="D6" s="2" t="s">
        <v>634</v>
      </c>
      <c r="E6" s="3">
        <v>1</v>
      </c>
      <c r="F6" s="3">
        <v>1</v>
      </c>
      <c r="G6" s="3">
        <v>1</v>
      </c>
      <c r="H6" s="39">
        <f t="shared" ref="H6:H22" si="0">E6+F6+G6</f>
        <v>3</v>
      </c>
      <c r="I6" s="13" t="s">
        <v>635</v>
      </c>
      <c r="J6" s="22" t="s">
        <v>321</v>
      </c>
      <c r="K6" s="6" t="s">
        <v>326</v>
      </c>
      <c r="L6" s="31" t="s">
        <v>636</v>
      </c>
      <c r="M6" s="22" t="s">
        <v>637</v>
      </c>
    </row>
    <row r="7" spans="1:13" ht="26.05" customHeight="1" x14ac:dyDescent="0.4">
      <c r="A7" s="10">
        <v>2</v>
      </c>
      <c r="B7" s="23" t="s">
        <v>332</v>
      </c>
      <c r="C7" s="28" t="s">
        <v>333</v>
      </c>
      <c r="D7" s="7" t="s">
        <v>638</v>
      </c>
      <c r="E7" s="8">
        <v>0</v>
      </c>
      <c r="F7" s="8">
        <v>2</v>
      </c>
      <c r="G7" s="8">
        <v>0</v>
      </c>
      <c r="H7" s="40">
        <f t="shared" si="0"/>
        <v>2</v>
      </c>
      <c r="I7" s="6" t="s">
        <v>639</v>
      </c>
      <c r="J7" s="24" t="s">
        <v>331</v>
      </c>
      <c r="K7" s="6" t="s">
        <v>326</v>
      </c>
      <c r="L7" s="6" t="s">
        <v>640</v>
      </c>
      <c r="M7" s="24" t="s">
        <v>641</v>
      </c>
    </row>
    <row r="8" spans="1:13" ht="26.05" customHeight="1" x14ac:dyDescent="0.4">
      <c r="A8" s="5">
        <v>3</v>
      </c>
      <c r="B8" s="21" t="s">
        <v>339</v>
      </c>
      <c r="C8" s="25" t="s">
        <v>340</v>
      </c>
      <c r="D8" s="2" t="s">
        <v>642</v>
      </c>
      <c r="E8" s="3">
        <v>0</v>
      </c>
      <c r="F8" s="3">
        <v>1</v>
      </c>
      <c r="G8" s="3">
        <v>0</v>
      </c>
      <c r="H8" s="39">
        <f t="shared" si="0"/>
        <v>1</v>
      </c>
      <c r="I8" s="6" t="s">
        <v>639</v>
      </c>
      <c r="J8" s="22" t="s">
        <v>338</v>
      </c>
      <c r="K8" s="6" t="s">
        <v>326</v>
      </c>
      <c r="L8" s="6" t="s">
        <v>640</v>
      </c>
      <c r="M8" s="22" t="s">
        <v>643</v>
      </c>
    </row>
    <row r="9" spans="1:13" ht="26.05" customHeight="1" x14ac:dyDescent="0.4">
      <c r="A9" s="10">
        <v>4</v>
      </c>
      <c r="B9" s="23" t="s">
        <v>322</v>
      </c>
      <c r="C9" s="28" t="s">
        <v>325</v>
      </c>
      <c r="D9" s="7" t="s">
        <v>634</v>
      </c>
      <c r="E9" s="8">
        <v>0</v>
      </c>
      <c r="F9" s="8">
        <v>1</v>
      </c>
      <c r="G9" s="8">
        <v>0</v>
      </c>
      <c r="H9" s="40">
        <f t="shared" si="0"/>
        <v>1</v>
      </c>
      <c r="I9" s="13" t="s">
        <v>635</v>
      </c>
      <c r="J9" s="24" t="s">
        <v>321</v>
      </c>
      <c r="K9" s="6" t="s">
        <v>326</v>
      </c>
      <c r="L9" s="6" t="s">
        <v>640</v>
      </c>
      <c r="M9" s="24" t="s">
        <v>644</v>
      </c>
    </row>
    <row r="10" spans="1:13" ht="26.05" customHeight="1" x14ac:dyDescent="0.4">
      <c r="A10" s="5">
        <v>5</v>
      </c>
      <c r="B10" s="21" t="s">
        <v>348</v>
      </c>
      <c r="C10" s="25" t="s">
        <v>349</v>
      </c>
      <c r="D10" s="2" t="s">
        <v>645</v>
      </c>
      <c r="E10" s="3">
        <v>1</v>
      </c>
      <c r="F10" s="3">
        <v>1</v>
      </c>
      <c r="G10" s="3">
        <v>1</v>
      </c>
      <c r="H10" s="39">
        <f t="shared" si="0"/>
        <v>3</v>
      </c>
      <c r="I10" s="6" t="s">
        <v>639</v>
      </c>
      <c r="J10" s="22" t="s">
        <v>347</v>
      </c>
      <c r="K10" s="6" t="s">
        <v>326</v>
      </c>
      <c r="L10" s="6" t="s">
        <v>640</v>
      </c>
      <c r="M10" s="22" t="s">
        <v>646</v>
      </c>
    </row>
    <row r="11" spans="1:13" ht="26.05" customHeight="1" x14ac:dyDescent="0.4">
      <c r="A11" s="10">
        <v>6</v>
      </c>
      <c r="B11" s="23" t="s">
        <v>354</v>
      </c>
      <c r="C11" s="28" t="s">
        <v>355</v>
      </c>
      <c r="D11" s="7" t="s">
        <v>647</v>
      </c>
      <c r="E11" s="8">
        <v>5</v>
      </c>
      <c r="F11" s="8">
        <v>0</v>
      </c>
      <c r="G11" s="8">
        <v>2</v>
      </c>
      <c r="H11" s="40">
        <f t="shared" si="0"/>
        <v>7</v>
      </c>
      <c r="I11" s="6" t="s">
        <v>639</v>
      </c>
      <c r="J11" s="24" t="s">
        <v>353</v>
      </c>
      <c r="K11" s="6" t="s">
        <v>326</v>
      </c>
      <c r="L11" s="6" t="s">
        <v>640</v>
      </c>
      <c r="M11" s="24" t="s">
        <v>648</v>
      </c>
    </row>
    <row r="12" spans="1:13" ht="26.05" customHeight="1" x14ac:dyDescent="0.4">
      <c r="A12" s="5">
        <v>7</v>
      </c>
      <c r="B12" s="21" t="s">
        <v>361</v>
      </c>
      <c r="C12" s="25" t="s">
        <v>362</v>
      </c>
      <c r="D12" s="2" t="s">
        <v>649</v>
      </c>
      <c r="E12" s="3">
        <v>3</v>
      </c>
      <c r="F12" s="3">
        <v>2</v>
      </c>
      <c r="G12" s="3">
        <v>0</v>
      </c>
      <c r="H12" s="39">
        <f t="shared" si="0"/>
        <v>5</v>
      </c>
      <c r="I12" s="6" t="s">
        <v>639</v>
      </c>
      <c r="J12" s="22" t="s">
        <v>360</v>
      </c>
      <c r="K12" s="6" t="s">
        <v>326</v>
      </c>
      <c r="L12" s="6" t="s">
        <v>640</v>
      </c>
      <c r="M12" s="22" t="s">
        <v>650</v>
      </c>
    </row>
    <row r="13" spans="1:13" ht="26.05" customHeight="1" x14ac:dyDescent="0.4">
      <c r="A13" s="10">
        <v>8</v>
      </c>
      <c r="B13" s="23" t="s">
        <v>368</v>
      </c>
      <c r="C13" s="28" t="s">
        <v>369</v>
      </c>
      <c r="D13" s="7" t="s">
        <v>651</v>
      </c>
      <c r="E13" s="8">
        <v>1</v>
      </c>
      <c r="F13" s="8">
        <v>4</v>
      </c>
      <c r="G13" s="8">
        <v>1</v>
      </c>
      <c r="H13" s="40">
        <f t="shared" si="0"/>
        <v>6</v>
      </c>
      <c r="I13" s="6" t="s">
        <v>639</v>
      </c>
      <c r="J13" s="24" t="s">
        <v>367</v>
      </c>
      <c r="K13" s="6" t="s">
        <v>326</v>
      </c>
      <c r="L13" s="6" t="s">
        <v>640</v>
      </c>
      <c r="M13" s="24" t="s">
        <v>652</v>
      </c>
    </row>
    <row r="14" spans="1:13" ht="26.05" customHeight="1" x14ac:dyDescent="0.4">
      <c r="A14" s="5">
        <v>9</v>
      </c>
      <c r="B14" s="21" t="s">
        <v>375</v>
      </c>
      <c r="C14" s="25" t="s">
        <v>376</v>
      </c>
      <c r="D14" s="2" t="s">
        <v>653</v>
      </c>
      <c r="E14" s="3">
        <v>6</v>
      </c>
      <c r="F14" s="3">
        <v>1</v>
      </c>
      <c r="G14" s="3">
        <v>1</v>
      </c>
      <c r="H14" s="39">
        <f t="shared" si="0"/>
        <v>8</v>
      </c>
      <c r="I14" s="6" t="s">
        <v>639</v>
      </c>
      <c r="J14" s="22" t="s">
        <v>374</v>
      </c>
      <c r="K14" s="6" t="s">
        <v>326</v>
      </c>
      <c r="L14" s="6" t="s">
        <v>640</v>
      </c>
      <c r="M14" s="22" t="s">
        <v>654</v>
      </c>
    </row>
    <row r="15" spans="1:13" ht="26.05" customHeight="1" x14ac:dyDescent="0.4">
      <c r="A15" s="10">
        <v>10</v>
      </c>
      <c r="B15" s="23" t="s">
        <v>382</v>
      </c>
      <c r="C15" s="28" t="s">
        <v>383</v>
      </c>
      <c r="D15" s="7" t="s">
        <v>655</v>
      </c>
      <c r="E15" s="8">
        <v>0</v>
      </c>
      <c r="F15" s="8">
        <v>1</v>
      </c>
      <c r="G15" s="8">
        <v>0</v>
      </c>
      <c r="H15" s="40">
        <f t="shared" si="0"/>
        <v>1</v>
      </c>
      <c r="I15" s="6" t="s">
        <v>639</v>
      </c>
      <c r="J15" s="24" t="s">
        <v>381</v>
      </c>
      <c r="K15" s="6" t="s">
        <v>326</v>
      </c>
      <c r="L15" s="6" t="s">
        <v>640</v>
      </c>
      <c r="M15" s="24" t="s">
        <v>656</v>
      </c>
    </row>
    <row r="16" spans="1:13" ht="26.05" customHeight="1" x14ac:dyDescent="0.4">
      <c r="A16" s="5">
        <v>11</v>
      </c>
      <c r="B16" s="21" t="s">
        <v>388</v>
      </c>
      <c r="C16" s="25" t="s">
        <v>389</v>
      </c>
      <c r="D16" s="2" t="s">
        <v>657</v>
      </c>
      <c r="E16" s="3">
        <v>0</v>
      </c>
      <c r="F16" s="3">
        <v>0</v>
      </c>
      <c r="G16" s="3">
        <v>0</v>
      </c>
      <c r="H16" s="39">
        <f t="shared" si="0"/>
        <v>0</v>
      </c>
      <c r="I16" s="6" t="s">
        <v>639</v>
      </c>
      <c r="J16" s="22" t="s">
        <v>387</v>
      </c>
      <c r="K16" s="31" t="s">
        <v>390</v>
      </c>
      <c r="L16" s="6" t="s">
        <v>640</v>
      </c>
      <c r="M16" s="22" t="s">
        <v>658</v>
      </c>
    </row>
    <row r="17" spans="1:13" ht="26.05" customHeight="1" x14ac:dyDescent="0.4">
      <c r="A17" s="10">
        <v>12</v>
      </c>
      <c r="B17" s="23" t="s">
        <v>396</v>
      </c>
      <c r="C17" s="28" t="s">
        <v>397</v>
      </c>
      <c r="D17" s="7" t="s">
        <v>659</v>
      </c>
      <c r="E17" s="8">
        <v>5</v>
      </c>
      <c r="F17" s="8">
        <v>0</v>
      </c>
      <c r="G17" s="8">
        <v>9</v>
      </c>
      <c r="H17" s="40">
        <f t="shared" si="0"/>
        <v>14</v>
      </c>
      <c r="I17" s="6" t="s">
        <v>639</v>
      </c>
      <c r="J17" s="24" t="s">
        <v>395</v>
      </c>
      <c r="K17" s="6" t="s">
        <v>326</v>
      </c>
      <c r="L17" s="6" t="s">
        <v>640</v>
      </c>
      <c r="M17" s="24" t="s">
        <v>660</v>
      </c>
    </row>
    <row r="18" spans="1:13" ht="26.05" customHeight="1" x14ac:dyDescent="0.4">
      <c r="A18" s="5">
        <v>13</v>
      </c>
      <c r="B18" s="21" t="s">
        <v>403</v>
      </c>
      <c r="C18" s="25" t="s">
        <v>404</v>
      </c>
      <c r="D18" s="2" t="s">
        <v>661</v>
      </c>
      <c r="E18" s="3">
        <v>1</v>
      </c>
      <c r="F18" s="3">
        <v>2</v>
      </c>
      <c r="G18" s="3">
        <v>0</v>
      </c>
      <c r="H18" s="39">
        <f t="shared" si="0"/>
        <v>3</v>
      </c>
      <c r="I18" s="6" t="s">
        <v>639</v>
      </c>
      <c r="J18" s="22" t="s">
        <v>402</v>
      </c>
      <c r="K18" s="6" t="s">
        <v>326</v>
      </c>
      <c r="L18" s="6" t="s">
        <v>640</v>
      </c>
      <c r="M18" s="22" t="s">
        <v>662</v>
      </c>
    </row>
    <row r="19" spans="1:13" ht="26.05" customHeight="1" x14ac:dyDescent="0.4">
      <c r="A19" s="10">
        <v>14</v>
      </c>
      <c r="B19" s="23" t="s">
        <v>410</v>
      </c>
      <c r="C19" s="28" t="s">
        <v>411</v>
      </c>
      <c r="D19" s="7" t="s">
        <v>663</v>
      </c>
      <c r="E19" s="8">
        <v>0</v>
      </c>
      <c r="F19" s="8">
        <v>0</v>
      </c>
      <c r="G19" s="8">
        <v>0</v>
      </c>
      <c r="H19" s="40">
        <f t="shared" si="0"/>
        <v>0</v>
      </c>
      <c r="I19" s="6" t="s">
        <v>639</v>
      </c>
      <c r="J19" s="24" t="s">
        <v>409</v>
      </c>
      <c r="K19" s="15" t="s">
        <v>412</v>
      </c>
      <c r="L19" s="6" t="s">
        <v>640</v>
      </c>
      <c r="M19" s="24" t="s">
        <v>664</v>
      </c>
    </row>
    <row r="20" spans="1:13" ht="26.05" customHeight="1" x14ac:dyDescent="0.4">
      <c r="A20" s="5">
        <v>15</v>
      </c>
      <c r="B20" s="21" t="s">
        <v>417</v>
      </c>
      <c r="C20" s="25" t="s">
        <v>418</v>
      </c>
      <c r="D20" s="2" t="s">
        <v>665</v>
      </c>
      <c r="E20" s="3">
        <v>6</v>
      </c>
      <c r="F20" s="3">
        <v>0</v>
      </c>
      <c r="G20" s="3">
        <v>0</v>
      </c>
      <c r="H20" s="39">
        <f t="shared" si="0"/>
        <v>6</v>
      </c>
      <c r="I20" s="13" t="s">
        <v>635</v>
      </c>
      <c r="J20" s="22" t="s">
        <v>416</v>
      </c>
      <c r="K20" s="6" t="s">
        <v>326</v>
      </c>
      <c r="L20" s="6" t="s">
        <v>640</v>
      </c>
      <c r="M20" s="22" t="s">
        <v>666</v>
      </c>
    </row>
    <row r="21" spans="1:13" ht="26.05" customHeight="1" x14ac:dyDescent="0.4">
      <c r="A21" s="10">
        <v>16</v>
      </c>
      <c r="B21" s="23" t="s">
        <v>424</v>
      </c>
      <c r="C21" s="28" t="s">
        <v>425</v>
      </c>
      <c r="D21" s="7" t="s">
        <v>667</v>
      </c>
      <c r="E21" s="8">
        <v>3</v>
      </c>
      <c r="F21" s="8">
        <v>0</v>
      </c>
      <c r="G21" s="8">
        <v>0</v>
      </c>
      <c r="H21" s="40">
        <f t="shared" si="0"/>
        <v>3</v>
      </c>
      <c r="I21" s="6" t="s">
        <v>639</v>
      </c>
      <c r="J21" s="24" t="s">
        <v>423</v>
      </c>
      <c r="K21" s="6" t="s">
        <v>326</v>
      </c>
      <c r="L21" s="6" t="s">
        <v>640</v>
      </c>
      <c r="M21" s="24" t="s">
        <v>668</v>
      </c>
    </row>
    <row r="22" spans="1:13" ht="26.05" customHeight="1" x14ac:dyDescent="0.4">
      <c r="A22" s="5">
        <v>17</v>
      </c>
      <c r="B22" s="21" t="s">
        <v>431</v>
      </c>
      <c r="C22" s="25" t="s">
        <v>432</v>
      </c>
      <c r="D22" s="2" t="s">
        <v>669</v>
      </c>
      <c r="E22" s="3">
        <v>4</v>
      </c>
      <c r="F22" s="3">
        <v>0</v>
      </c>
      <c r="G22" s="3">
        <v>0</v>
      </c>
      <c r="H22" s="39">
        <f t="shared" si="0"/>
        <v>4</v>
      </c>
      <c r="I22" s="6" t="s">
        <v>639</v>
      </c>
      <c r="J22" s="22" t="s">
        <v>430</v>
      </c>
      <c r="K22" s="6" t="s">
        <v>326</v>
      </c>
      <c r="L22" s="6" t="s">
        <v>640</v>
      </c>
      <c r="M22" s="22" t="s">
        <v>670</v>
      </c>
    </row>
    <row r="23" spans="1:13" ht="24" customHeight="1" x14ac:dyDescent="0.4">
      <c r="A23" s="36" t="s">
        <v>617</v>
      </c>
      <c r="B23" s="16" t="str">
        <f>COUNTA(B6:B22) &amp; " Submissions (16 Students)"</f>
        <v>17 Submissions (16 Students)</v>
      </c>
      <c r="C23" s="36"/>
      <c r="D23" s="41" t="s">
        <v>671</v>
      </c>
      <c r="E23" s="17">
        <f>SUM(E6:E22)</f>
        <v>36</v>
      </c>
      <c r="F23" s="17">
        <f>SUM(F6:F22)</f>
        <v>16</v>
      </c>
      <c r="G23" s="17">
        <f>SUM(G6:G22)</f>
        <v>15</v>
      </c>
      <c r="H23" s="17">
        <f>SUM(H6:H22)</f>
        <v>67</v>
      </c>
      <c r="I23" s="36" t="s">
        <v>672</v>
      </c>
      <c r="J23" s="37" t="s">
        <v>673</v>
      </c>
      <c r="K23" s="36" t="s">
        <v>674</v>
      </c>
      <c r="L23" s="36" t="s">
        <v>75</v>
      </c>
      <c r="M23" s="38"/>
    </row>
    <row r="24" spans="1:13" ht="22" customHeight="1" x14ac:dyDescent="0.4">
      <c r="A24" s="42" t="s">
        <v>675</v>
      </c>
      <c r="B24" s="43" t="s">
        <v>676</v>
      </c>
      <c r="C24" s="44"/>
      <c r="D24" s="45" t="s">
        <v>677</v>
      </c>
      <c r="E24" s="46">
        <f>SUMIF(L6:L22, "Active / Latest Record", E6:E22)</f>
        <v>35</v>
      </c>
      <c r="F24" s="46">
        <f>SUMIF(L6:L22, "Active / Latest Record", F6:F22)</f>
        <v>15</v>
      </c>
      <c r="G24" s="46">
        <f>SUMIF(L6:L22, "Active / Latest Record", G6:G22)</f>
        <v>14</v>
      </c>
      <c r="H24" s="46">
        <f>SUMIF(L6:L22, "Active / Latest Record", H6:H22)</f>
        <v>64</v>
      </c>
      <c r="I24" s="42" t="s">
        <v>678</v>
      </c>
      <c r="J24" s="43" t="s">
        <v>679</v>
      </c>
      <c r="K24" s="42" t="s">
        <v>674</v>
      </c>
      <c r="L24" s="42" t="s">
        <v>680</v>
      </c>
      <c r="M24" s="44"/>
    </row>
    <row r="25" spans="1:13" ht="20.05" customHeight="1" x14ac:dyDescent="0.45">
      <c r="A25" s="47"/>
      <c r="B25" s="48" t="s">
        <v>681</v>
      </c>
      <c r="C25" s="47"/>
      <c r="D25" s="49" t="s">
        <v>682</v>
      </c>
      <c r="E25" s="50">
        <f>AVERAGE(E6:E22)</f>
        <v>2.1176470588235294</v>
      </c>
      <c r="F25" s="50">
        <f>AVERAGE(F6:F22)</f>
        <v>0.94117647058823528</v>
      </c>
      <c r="G25" s="50">
        <f>AVERAGE(G6:G22)</f>
        <v>0.88235294117647056</v>
      </c>
      <c r="H25" s="50">
        <f>AVERAGE(H6:H22)</f>
        <v>3.9411764705882355</v>
      </c>
      <c r="I25" s="47"/>
      <c r="J25" s="47"/>
      <c r="K25" s="47"/>
      <c r="L25" s="47"/>
      <c r="M25" s="47"/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8" customWidth="1"/>
    <col min="2" max="2" width="30" customWidth="1"/>
    <col min="3" max="3" width="16" customWidth="1"/>
    <col min="4" max="4" width="34" customWidth="1"/>
    <col min="5" max="5" width="28" customWidth="1"/>
    <col min="6" max="6" width="26" customWidth="1"/>
    <col min="7" max="7" width="18" customWidth="1"/>
    <col min="8" max="8" width="14" customWidth="1"/>
    <col min="9" max="9" width="36" customWidth="1"/>
    <col min="10" max="10" width="46" customWidth="1"/>
    <col min="11" max="11" width="24" customWidth="1"/>
    <col min="12" max="12" width="28" customWidth="1"/>
  </cols>
  <sheetData>
    <row r="1" spans="1:12" ht="36" customHeight="1" x14ac:dyDescent="0.4">
      <c r="A1" s="63" t="s">
        <v>683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20.05" customHeight="1" x14ac:dyDescent="0.4">
      <c r="A2" s="66" t="s">
        <v>684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5" spans="1:12" ht="28" customHeight="1" x14ac:dyDescent="0.4">
      <c r="A5" s="1" t="s">
        <v>514</v>
      </c>
      <c r="B5" s="1" t="s">
        <v>685</v>
      </c>
      <c r="C5" s="1" t="s">
        <v>686</v>
      </c>
      <c r="D5" s="1" t="s">
        <v>687</v>
      </c>
      <c r="E5" s="1" t="s">
        <v>688</v>
      </c>
      <c r="F5" s="1" t="s">
        <v>689</v>
      </c>
      <c r="G5" s="1" t="s">
        <v>690</v>
      </c>
      <c r="H5" s="1" t="s">
        <v>691</v>
      </c>
      <c r="I5" s="1" t="s">
        <v>692</v>
      </c>
      <c r="J5" s="1" t="s">
        <v>693</v>
      </c>
      <c r="K5" s="1" t="s">
        <v>694</v>
      </c>
      <c r="L5" s="1" t="s">
        <v>695</v>
      </c>
    </row>
    <row r="6" spans="1:12" ht="32.049999999999997" customHeight="1" x14ac:dyDescent="0.4">
      <c r="A6" s="5">
        <v>1</v>
      </c>
      <c r="B6" s="21" t="s">
        <v>438</v>
      </c>
      <c r="C6" s="6" t="s">
        <v>443</v>
      </c>
      <c r="D6" s="22" t="s">
        <v>440</v>
      </c>
      <c r="E6" s="22" t="s">
        <v>696</v>
      </c>
      <c r="F6" s="22" t="s">
        <v>440</v>
      </c>
      <c r="G6" s="6" t="s">
        <v>697</v>
      </c>
      <c r="H6" s="26">
        <v>44725</v>
      </c>
      <c r="I6" s="22" t="s">
        <v>698</v>
      </c>
      <c r="J6" s="22" t="s">
        <v>699</v>
      </c>
      <c r="K6" s="5" t="s">
        <v>531</v>
      </c>
      <c r="L6" s="2" t="s">
        <v>700</v>
      </c>
    </row>
    <row r="7" spans="1:12" ht="32.049999999999997" customHeight="1" x14ac:dyDescent="0.4">
      <c r="A7" s="10">
        <v>2</v>
      </c>
      <c r="B7" s="23" t="s">
        <v>447</v>
      </c>
      <c r="C7" s="6" t="s">
        <v>443</v>
      </c>
      <c r="D7" s="24" t="s">
        <v>449</v>
      </c>
      <c r="E7" s="24" t="s">
        <v>701</v>
      </c>
      <c r="F7" s="24" t="s">
        <v>450</v>
      </c>
      <c r="G7" s="6" t="s">
        <v>697</v>
      </c>
      <c r="H7" s="29">
        <v>45374</v>
      </c>
      <c r="I7" s="24" t="s">
        <v>702</v>
      </c>
      <c r="J7" s="24" t="s">
        <v>703</v>
      </c>
      <c r="K7" s="10" t="s">
        <v>531</v>
      </c>
      <c r="L7" s="7" t="s">
        <v>704</v>
      </c>
    </row>
    <row r="8" spans="1:12" ht="32.049999999999997" customHeight="1" x14ac:dyDescent="0.4">
      <c r="A8" s="5">
        <v>3</v>
      </c>
      <c r="B8" s="21" t="s">
        <v>455</v>
      </c>
      <c r="C8" s="11" t="s">
        <v>460</v>
      </c>
      <c r="D8" s="22" t="s">
        <v>457</v>
      </c>
      <c r="E8" s="22" t="s">
        <v>705</v>
      </c>
      <c r="F8" s="22" t="s">
        <v>458</v>
      </c>
      <c r="G8" s="13" t="s">
        <v>706</v>
      </c>
      <c r="H8" s="26">
        <v>45307</v>
      </c>
      <c r="I8" s="22" t="s">
        <v>707</v>
      </c>
      <c r="J8" s="22" t="s">
        <v>708</v>
      </c>
      <c r="K8" s="51" t="s">
        <v>709</v>
      </c>
      <c r="L8" s="2" t="s">
        <v>710</v>
      </c>
    </row>
    <row r="9" spans="1:12" ht="32.049999999999997" customHeight="1" x14ac:dyDescent="0.4">
      <c r="A9" s="10">
        <v>4</v>
      </c>
      <c r="B9" s="23" t="s">
        <v>464</v>
      </c>
      <c r="C9" s="6" t="s">
        <v>443</v>
      </c>
      <c r="D9" s="24" t="s">
        <v>466</v>
      </c>
      <c r="E9" s="24" t="s">
        <v>711</v>
      </c>
      <c r="F9" s="24" t="s">
        <v>467</v>
      </c>
      <c r="G9" s="6" t="s">
        <v>697</v>
      </c>
      <c r="H9" s="29">
        <v>45505</v>
      </c>
      <c r="I9" s="24" t="s">
        <v>712</v>
      </c>
      <c r="J9" s="24" t="s">
        <v>713</v>
      </c>
      <c r="K9" s="52" t="s">
        <v>714</v>
      </c>
      <c r="L9" s="7" t="s">
        <v>715</v>
      </c>
    </row>
    <row r="10" spans="1:12" ht="32.049999999999997" customHeight="1" x14ac:dyDescent="0.4">
      <c r="A10" s="5">
        <v>5</v>
      </c>
      <c r="B10" s="21" t="s">
        <v>471</v>
      </c>
      <c r="C10" s="6" t="s">
        <v>443</v>
      </c>
      <c r="D10" s="22" t="s">
        <v>473</v>
      </c>
      <c r="E10" s="22" t="s">
        <v>179</v>
      </c>
      <c r="F10" s="22" t="s">
        <v>474</v>
      </c>
      <c r="G10" s="6" t="s">
        <v>697</v>
      </c>
      <c r="H10" s="26">
        <v>45021</v>
      </c>
      <c r="I10" s="22" t="s">
        <v>716</v>
      </c>
      <c r="J10" s="22" t="s">
        <v>717</v>
      </c>
      <c r="K10" s="51" t="s">
        <v>718</v>
      </c>
      <c r="L10" s="2" t="s">
        <v>719</v>
      </c>
    </row>
    <row r="11" spans="1:12" ht="32.049999999999997" customHeight="1" x14ac:dyDescent="0.4">
      <c r="A11" s="10">
        <v>6</v>
      </c>
      <c r="B11" s="23" t="s">
        <v>478</v>
      </c>
      <c r="C11" s="11" t="s">
        <v>460</v>
      </c>
      <c r="D11" s="24" t="s">
        <v>480</v>
      </c>
      <c r="E11" s="24" t="s">
        <v>720</v>
      </c>
      <c r="F11" s="24" t="s">
        <v>481</v>
      </c>
      <c r="G11" s="15" t="s">
        <v>721</v>
      </c>
      <c r="H11" s="29">
        <v>45184</v>
      </c>
      <c r="I11" s="24" t="s">
        <v>722</v>
      </c>
      <c r="J11" s="24" t="s">
        <v>723</v>
      </c>
      <c r="K11" s="52" t="s">
        <v>724</v>
      </c>
      <c r="L11" s="7" t="s">
        <v>725</v>
      </c>
    </row>
    <row r="12" spans="1:12" ht="32.049999999999997" customHeight="1" x14ac:dyDescent="0.4">
      <c r="A12" s="5">
        <v>7</v>
      </c>
      <c r="B12" s="21" t="s">
        <v>486</v>
      </c>
      <c r="C12" s="6" t="s">
        <v>443</v>
      </c>
      <c r="D12" s="22" t="s">
        <v>488</v>
      </c>
      <c r="E12" s="22" t="s">
        <v>726</v>
      </c>
      <c r="F12" s="22" t="s">
        <v>489</v>
      </c>
      <c r="G12" s="6" t="s">
        <v>697</v>
      </c>
      <c r="H12" s="26">
        <v>45272</v>
      </c>
      <c r="I12" s="22" t="s">
        <v>727</v>
      </c>
      <c r="J12" s="22" t="s">
        <v>728</v>
      </c>
      <c r="K12" s="5" t="s">
        <v>531</v>
      </c>
      <c r="L12" s="2" t="s">
        <v>729</v>
      </c>
    </row>
    <row r="13" spans="1:12" ht="32.049999999999997" customHeight="1" x14ac:dyDescent="0.4">
      <c r="A13" s="10">
        <v>8</v>
      </c>
      <c r="B13" s="23" t="s">
        <v>493</v>
      </c>
      <c r="C13" s="6" t="s">
        <v>443</v>
      </c>
      <c r="D13" s="24" t="s">
        <v>495</v>
      </c>
      <c r="E13" s="24" t="s">
        <v>730</v>
      </c>
      <c r="F13" s="24" t="s">
        <v>458</v>
      </c>
      <c r="G13" s="6" t="s">
        <v>697</v>
      </c>
      <c r="H13" s="29">
        <v>45179</v>
      </c>
      <c r="I13" s="24" t="s">
        <v>731</v>
      </c>
      <c r="J13" s="24" t="s">
        <v>732</v>
      </c>
      <c r="K13" s="52" t="s">
        <v>733</v>
      </c>
      <c r="L13" s="7" t="s">
        <v>734</v>
      </c>
    </row>
    <row r="14" spans="1:12" ht="32.049999999999997" customHeight="1" x14ac:dyDescent="0.4">
      <c r="A14" s="5">
        <v>9</v>
      </c>
      <c r="B14" s="21" t="s">
        <v>499</v>
      </c>
      <c r="C14" s="6" t="s">
        <v>443</v>
      </c>
      <c r="D14" s="22" t="s">
        <v>501</v>
      </c>
      <c r="E14" s="22" t="s">
        <v>735</v>
      </c>
      <c r="F14" s="22" t="s">
        <v>502</v>
      </c>
      <c r="G14" s="6" t="s">
        <v>697</v>
      </c>
      <c r="H14" s="26">
        <v>45324</v>
      </c>
      <c r="I14" s="22" t="s">
        <v>736</v>
      </c>
      <c r="J14" s="22" t="s">
        <v>737</v>
      </c>
      <c r="K14" s="51" t="s">
        <v>738</v>
      </c>
      <c r="L14" s="2" t="s">
        <v>739</v>
      </c>
    </row>
    <row r="15" spans="1:12" ht="32.049999999999997" customHeight="1" x14ac:dyDescent="0.4">
      <c r="A15" s="10">
        <v>10</v>
      </c>
      <c r="B15" s="23" t="s">
        <v>506</v>
      </c>
      <c r="C15" s="11" t="s">
        <v>460</v>
      </c>
      <c r="D15" s="24" t="s">
        <v>508</v>
      </c>
      <c r="E15" s="24" t="s">
        <v>740</v>
      </c>
      <c r="F15" s="24" t="s">
        <v>509</v>
      </c>
      <c r="G15" s="13" t="s">
        <v>706</v>
      </c>
      <c r="H15" s="29">
        <v>45329</v>
      </c>
      <c r="I15" s="24" t="s">
        <v>741</v>
      </c>
      <c r="J15" s="24" t="s">
        <v>742</v>
      </c>
      <c r="K15" s="52" t="s">
        <v>743</v>
      </c>
      <c r="L15" s="7" t="s">
        <v>744</v>
      </c>
    </row>
    <row r="16" spans="1:12" ht="24" customHeight="1" x14ac:dyDescent="0.4">
      <c r="A16" s="36" t="s">
        <v>617</v>
      </c>
      <c r="B16" s="16" t="str">
        <f>COUNTA(B6:B15) &amp; " Total Ventures"</f>
        <v>10 Total Ventures</v>
      </c>
      <c r="C16" s="19" t="str">
        <f>COUNTIF(C6:C15, "Incubated") &amp; " Incubated | " &amp; COUNTIF(C6:C15, "Pre-Incubatee") &amp; " Pre-Incubatee"</f>
        <v>7 Incubated | 3 Pre-Incubatee</v>
      </c>
      <c r="D16" s="37" t="s">
        <v>745</v>
      </c>
      <c r="E16" s="38"/>
      <c r="F16" s="38"/>
      <c r="G16" s="36" t="s">
        <v>746</v>
      </c>
      <c r="H16" s="38"/>
      <c r="I16" s="38"/>
      <c r="J16" s="38"/>
      <c r="K16" s="36" t="s">
        <v>747</v>
      </c>
      <c r="L16" s="37" t="s">
        <v>748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8" customWidth="1"/>
    <col min="2" max="2" width="28" customWidth="1"/>
    <col min="3" max="3" width="34" customWidth="1"/>
    <col min="4" max="4" width="28" customWidth="1"/>
    <col min="5" max="5" width="16" customWidth="1"/>
    <col min="6" max="6" width="42" customWidth="1"/>
    <col min="7" max="7" width="16" customWidth="1"/>
    <col min="8" max="8" width="36" customWidth="1"/>
    <col min="9" max="9" width="18" customWidth="1"/>
    <col min="10" max="10" width="45" customWidth="1"/>
  </cols>
  <sheetData>
    <row r="1" spans="1:10" ht="36" customHeight="1" x14ac:dyDescent="0.4">
      <c r="A1" s="63" t="s">
        <v>749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20.05" customHeight="1" x14ac:dyDescent="0.4">
      <c r="A2" s="66" t="s">
        <v>750</v>
      </c>
      <c r="B2" s="64"/>
      <c r="C2" s="64"/>
      <c r="D2" s="64"/>
      <c r="E2" s="64"/>
      <c r="F2" s="64"/>
      <c r="G2" s="64"/>
      <c r="H2" s="64"/>
      <c r="I2" s="64"/>
      <c r="J2" s="64"/>
    </row>
    <row r="5" spans="1:10" ht="28" customHeight="1" x14ac:dyDescent="0.4">
      <c r="A5" s="1" t="s">
        <v>514</v>
      </c>
      <c r="B5" s="1" t="s">
        <v>751</v>
      </c>
      <c r="C5" s="1" t="s">
        <v>752</v>
      </c>
      <c r="D5" s="1" t="s">
        <v>753</v>
      </c>
      <c r="E5" s="1" t="s">
        <v>754</v>
      </c>
      <c r="F5" s="1" t="s">
        <v>755</v>
      </c>
      <c r="G5" s="1" t="s">
        <v>756</v>
      </c>
      <c r="H5" s="1" t="s">
        <v>757</v>
      </c>
      <c r="I5" s="1" t="s">
        <v>758</v>
      </c>
      <c r="J5" s="1" t="s">
        <v>759</v>
      </c>
    </row>
    <row r="6" spans="1:10" ht="28" customHeight="1" x14ac:dyDescent="0.4">
      <c r="A6" s="5">
        <v>1</v>
      </c>
      <c r="B6" s="21" t="s">
        <v>760</v>
      </c>
      <c r="C6" s="22" t="s">
        <v>761</v>
      </c>
      <c r="D6" s="22" t="s">
        <v>762</v>
      </c>
      <c r="E6" s="39">
        <v>2</v>
      </c>
      <c r="F6" s="22" t="s">
        <v>763</v>
      </c>
      <c r="G6" s="39">
        <v>2</v>
      </c>
      <c r="H6" s="22" t="s">
        <v>764</v>
      </c>
      <c r="I6" s="3">
        <v>0</v>
      </c>
      <c r="J6" s="22" t="s">
        <v>765</v>
      </c>
    </row>
    <row r="7" spans="1:10" ht="28" customHeight="1" x14ac:dyDescent="0.4">
      <c r="A7" s="10">
        <v>2</v>
      </c>
      <c r="B7" s="23" t="s">
        <v>474</v>
      </c>
      <c r="C7" s="24" t="s">
        <v>766</v>
      </c>
      <c r="D7" s="24" t="s">
        <v>767</v>
      </c>
      <c r="E7" s="40">
        <v>4</v>
      </c>
      <c r="F7" s="24" t="s">
        <v>768</v>
      </c>
      <c r="G7" s="40">
        <v>1</v>
      </c>
      <c r="H7" s="24" t="s">
        <v>769</v>
      </c>
      <c r="I7" s="8">
        <v>0</v>
      </c>
      <c r="J7" s="24" t="s">
        <v>770</v>
      </c>
    </row>
    <row r="8" spans="1:10" ht="28" customHeight="1" x14ac:dyDescent="0.4">
      <c r="A8" s="5">
        <v>3</v>
      </c>
      <c r="B8" s="21" t="s">
        <v>771</v>
      </c>
      <c r="C8" s="22" t="s">
        <v>772</v>
      </c>
      <c r="D8" s="22" t="s">
        <v>767</v>
      </c>
      <c r="E8" s="39">
        <v>3</v>
      </c>
      <c r="F8" s="22" t="s">
        <v>773</v>
      </c>
      <c r="G8" s="39">
        <v>1</v>
      </c>
      <c r="H8" s="22" t="s">
        <v>774</v>
      </c>
      <c r="I8" s="3">
        <v>0</v>
      </c>
      <c r="J8" s="22" t="s">
        <v>775</v>
      </c>
    </row>
    <row r="9" spans="1:10" ht="28" customHeight="1" x14ac:dyDescent="0.4">
      <c r="A9" s="10">
        <v>4</v>
      </c>
      <c r="B9" s="23" t="s">
        <v>776</v>
      </c>
      <c r="C9" s="24" t="s">
        <v>777</v>
      </c>
      <c r="D9" s="24" t="s">
        <v>767</v>
      </c>
      <c r="E9" s="40">
        <v>5</v>
      </c>
      <c r="F9" s="24" t="s">
        <v>778</v>
      </c>
      <c r="G9" s="8">
        <v>0</v>
      </c>
      <c r="H9" s="24" t="s">
        <v>531</v>
      </c>
      <c r="I9" s="8">
        <v>0</v>
      </c>
      <c r="J9" s="24" t="s">
        <v>779</v>
      </c>
    </row>
    <row r="10" spans="1:10" ht="28" customHeight="1" x14ac:dyDescent="0.4">
      <c r="A10" s="5">
        <v>5</v>
      </c>
      <c r="B10" s="21" t="s">
        <v>780</v>
      </c>
      <c r="C10" s="22" t="s">
        <v>781</v>
      </c>
      <c r="D10" s="22" t="s">
        <v>782</v>
      </c>
      <c r="E10" s="39">
        <v>6</v>
      </c>
      <c r="F10" s="22" t="s">
        <v>783</v>
      </c>
      <c r="G10" s="3">
        <v>0</v>
      </c>
      <c r="H10" s="22" t="s">
        <v>531</v>
      </c>
      <c r="I10" s="3">
        <v>0</v>
      </c>
      <c r="J10" s="22" t="s">
        <v>784</v>
      </c>
    </row>
    <row r="11" spans="1:10" ht="28" customHeight="1" x14ac:dyDescent="0.4">
      <c r="A11" s="10">
        <v>6</v>
      </c>
      <c r="B11" s="23" t="s">
        <v>467</v>
      </c>
      <c r="C11" s="24" t="s">
        <v>777</v>
      </c>
      <c r="D11" s="24" t="s">
        <v>785</v>
      </c>
      <c r="E11" s="40">
        <v>1</v>
      </c>
      <c r="F11" s="24" t="s">
        <v>786</v>
      </c>
      <c r="G11" s="40">
        <v>1</v>
      </c>
      <c r="H11" s="24" t="s">
        <v>787</v>
      </c>
      <c r="I11" s="8">
        <v>0</v>
      </c>
      <c r="J11" s="24" t="s">
        <v>788</v>
      </c>
    </row>
    <row r="12" spans="1:10" ht="28" customHeight="1" x14ac:dyDescent="0.4">
      <c r="A12" s="5">
        <v>7</v>
      </c>
      <c r="B12" s="21" t="s">
        <v>789</v>
      </c>
      <c r="C12" s="22" t="s">
        <v>790</v>
      </c>
      <c r="D12" s="22" t="s">
        <v>785</v>
      </c>
      <c r="E12" s="39">
        <v>4</v>
      </c>
      <c r="F12" s="22" t="s">
        <v>791</v>
      </c>
      <c r="G12" s="3">
        <v>0</v>
      </c>
      <c r="H12" s="22" t="s">
        <v>531</v>
      </c>
      <c r="I12" s="3">
        <v>0</v>
      </c>
      <c r="J12" s="22" t="s">
        <v>792</v>
      </c>
    </row>
    <row r="13" spans="1:10" ht="28" customHeight="1" x14ac:dyDescent="0.4">
      <c r="A13" s="10">
        <v>8</v>
      </c>
      <c r="B13" s="23" t="s">
        <v>509</v>
      </c>
      <c r="C13" s="24" t="s">
        <v>777</v>
      </c>
      <c r="D13" s="24" t="s">
        <v>785</v>
      </c>
      <c r="E13" s="40">
        <v>2</v>
      </c>
      <c r="F13" s="24" t="s">
        <v>793</v>
      </c>
      <c r="G13" s="40">
        <v>1</v>
      </c>
      <c r="H13" s="24" t="s">
        <v>794</v>
      </c>
      <c r="I13" s="8">
        <v>0</v>
      </c>
      <c r="J13" s="24" t="s">
        <v>795</v>
      </c>
    </row>
    <row r="14" spans="1:10" ht="28" customHeight="1" x14ac:dyDescent="0.4">
      <c r="A14" s="5">
        <v>9</v>
      </c>
      <c r="B14" s="21" t="s">
        <v>440</v>
      </c>
      <c r="C14" s="22" t="s">
        <v>772</v>
      </c>
      <c r="D14" s="22" t="s">
        <v>785</v>
      </c>
      <c r="E14" s="3">
        <v>0</v>
      </c>
      <c r="F14" s="22" t="s">
        <v>531</v>
      </c>
      <c r="G14" s="39">
        <v>1</v>
      </c>
      <c r="H14" s="22" t="s">
        <v>796</v>
      </c>
      <c r="I14" s="3">
        <v>0</v>
      </c>
      <c r="J14" s="22" t="s">
        <v>797</v>
      </c>
    </row>
    <row r="15" spans="1:10" ht="28" customHeight="1" x14ac:dyDescent="0.4">
      <c r="A15" s="10">
        <v>10</v>
      </c>
      <c r="B15" s="23" t="s">
        <v>450</v>
      </c>
      <c r="C15" s="24" t="s">
        <v>777</v>
      </c>
      <c r="D15" s="24" t="s">
        <v>785</v>
      </c>
      <c r="E15" s="8">
        <v>0</v>
      </c>
      <c r="F15" s="24" t="s">
        <v>531</v>
      </c>
      <c r="G15" s="40">
        <v>1</v>
      </c>
      <c r="H15" s="24" t="s">
        <v>798</v>
      </c>
      <c r="I15" s="8">
        <v>0</v>
      </c>
      <c r="J15" s="24" t="s">
        <v>799</v>
      </c>
    </row>
    <row r="16" spans="1:10" ht="28" customHeight="1" x14ac:dyDescent="0.4">
      <c r="A16" s="5">
        <v>11</v>
      </c>
      <c r="B16" s="21" t="s">
        <v>800</v>
      </c>
      <c r="C16" s="22" t="s">
        <v>766</v>
      </c>
      <c r="D16" s="22" t="s">
        <v>785</v>
      </c>
      <c r="E16" s="3">
        <v>0</v>
      </c>
      <c r="F16" s="22" t="s">
        <v>531</v>
      </c>
      <c r="G16" s="39">
        <v>1</v>
      </c>
      <c r="H16" s="22" t="s">
        <v>801</v>
      </c>
      <c r="I16" s="3">
        <v>0</v>
      </c>
      <c r="J16" s="22" t="s">
        <v>802</v>
      </c>
    </row>
    <row r="17" spans="1:10" ht="28" customHeight="1" x14ac:dyDescent="0.4">
      <c r="A17" s="10">
        <v>12</v>
      </c>
      <c r="B17" s="23" t="s">
        <v>803</v>
      </c>
      <c r="C17" s="24" t="s">
        <v>766</v>
      </c>
      <c r="D17" s="24" t="s">
        <v>804</v>
      </c>
      <c r="E17" s="8">
        <v>0</v>
      </c>
      <c r="F17" s="24" t="s">
        <v>531</v>
      </c>
      <c r="G17" s="40">
        <v>1</v>
      </c>
      <c r="H17" s="24" t="s">
        <v>801</v>
      </c>
      <c r="I17" s="8">
        <v>0</v>
      </c>
      <c r="J17" s="24" t="s">
        <v>805</v>
      </c>
    </row>
    <row r="18" spans="1:10" ht="28" customHeight="1" x14ac:dyDescent="0.4">
      <c r="A18" s="5">
        <v>13</v>
      </c>
      <c r="B18" s="21" t="s">
        <v>806</v>
      </c>
      <c r="C18" s="22" t="s">
        <v>807</v>
      </c>
      <c r="D18" s="22" t="s">
        <v>808</v>
      </c>
      <c r="E18" s="39">
        <v>3</v>
      </c>
      <c r="F18" s="22" t="s">
        <v>809</v>
      </c>
      <c r="G18" s="3">
        <v>0</v>
      </c>
      <c r="H18" s="22" t="s">
        <v>531</v>
      </c>
      <c r="I18" s="3">
        <v>0</v>
      </c>
      <c r="J18" s="22" t="s">
        <v>810</v>
      </c>
    </row>
    <row r="19" spans="1:10" ht="28" customHeight="1" x14ac:dyDescent="0.4">
      <c r="A19" s="10">
        <v>14</v>
      </c>
      <c r="B19" s="23" t="s">
        <v>811</v>
      </c>
      <c r="C19" s="24" t="s">
        <v>812</v>
      </c>
      <c r="D19" s="24" t="s">
        <v>808</v>
      </c>
      <c r="E19" s="40">
        <v>3</v>
      </c>
      <c r="F19" s="24" t="s">
        <v>813</v>
      </c>
      <c r="G19" s="8">
        <v>0</v>
      </c>
      <c r="H19" s="24" t="s">
        <v>531</v>
      </c>
      <c r="I19" s="8">
        <v>0</v>
      </c>
      <c r="J19" s="24" t="s">
        <v>814</v>
      </c>
    </row>
    <row r="20" spans="1:10" ht="28" customHeight="1" x14ac:dyDescent="0.4">
      <c r="A20" s="5">
        <v>15</v>
      </c>
      <c r="B20" s="21" t="s">
        <v>815</v>
      </c>
      <c r="C20" s="22" t="s">
        <v>816</v>
      </c>
      <c r="D20" s="22" t="s">
        <v>782</v>
      </c>
      <c r="E20" s="39">
        <v>3</v>
      </c>
      <c r="F20" s="22" t="s">
        <v>817</v>
      </c>
      <c r="G20" s="3">
        <v>0</v>
      </c>
      <c r="H20" s="22" t="s">
        <v>531</v>
      </c>
      <c r="I20" s="3">
        <v>0</v>
      </c>
      <c r="J20" s="22" t="s">
        <v>818</v>
      </c>
    </row>
    <row r="21" spans="1:10" ht="28" customHeight="1" x14ac:dyDescent="0.4">
      <c r="A21" s="10">
        <v>16</v>
      </c>
      <c r="B21" s="23" t="s">
        <v>819</v>
      </c>
      <c r="C21" s="24" t="s">
        <v>820</v>
      </c>
      <c r="D21" s="24" t="s">
        <v>808</v>
      </c>
      <c r="E21" s="40">
        <v>3</v>
      </c>
      <c r="F21" s="24" t="s">
        <v>821</v>
      </c>
      <c r="G21" s="8">
        <v>0</v>
      </c>
      <c r="H21" s="24" t="s">
        <v>531</v>
      </c>
      <c r="I21" s="8">
        <v>0</v>
      </c>
      <c r="J21" s="24" t="s">
        <v>822</v>
      </c>
    </row>
    <row r="22" spans="1:10" ht="28" customHeight="1" x14ac:dyDescent="0.4">
      <c r="A22" s="5">
        <v>17</v>
      </c>
      <c r="B22" s="21" t="s">
        <v>403</v>
      </c>
      <c r="C22" s="22" t="s">
        <v>823</v>
      </c>
      <c r="D22" s="22" t="s">
        <v>824</v>
      </c>
      <c r="E22" s="39">
        <v>3</v>
      </c>
      <c r="F22" s="22" t="s">
        <v>825</v>
      </c>
      <c r="G22" s="39">
        <v>1</v>
      </c>
      <c r="H22" s="22" t="s">
        <v>826</v>
      </c>
      <c r="I22" s="39">
        <v>3</v>
      </c>
      <c r="J22" s="22" t="s">
        <v>827</v>
      </c>
    </row>
    <row r="23" spans="1:10" ht="28" customHeight="1" x14ac:dyDescent="0.4">
      <c r="A23" s="10">
        <v>18</v>
      </c>
      <c r="B23" s="23" t="s">
        <v>828</v>
      </c>
      <c r="C23" s="24" t="s">
        <v>829</v>
      </c>
      <c r="D23" s="24" t="s">
        <v>830</v>
      </c>
      <c r="E23" s="40">
        <v>5</v>
      </c>
      <c r="F23" s="24" t="s">
        <v>778</v>
      </c>
      <c r="G23" s="8">
        <v>0</v>
      </c>
      <c r="H23" s="24" t="s">
        <v>531</v>
      </c>
      <c r="I23" s="8">
        <v>0</v>
      </c>
      <c r="J23" s="24" t="s">
        <v>831</v>
      </c>
    </row>
    <row r="24" spans="1:10" ht="28" customHeight="1" x14ac:dyDescent="0.4">
      <c r="A24" s="5">
        <v>19</v>
      </c>
      <c r="B24" s="21" t="s">
        <v>832</v>
      </c>
      <c r="C24" s="22" t="s">
        <v>829</v>
      </c>
      <c r="D24" s="22" t="s">
        <v>833</v>
      </c>
      <c r="E24" s="39">
        <v>2</v>
      </c>
      <c r="F24" s="22" t="s">
        <v>834</v>
      </c>
      <c r="G24" s="39">
        <v>1</v>
      </c>
      <c r="H24" s="22" t="s">
        <v>769</v>
      </c>
      <c r="I24" s="3">
        <v>0</v>
      </c>
      <c r="J24" s="22" t="s">
        <v>835</v>
      </c>
    </row>
    <row r="25" spans="1:10" ht="28" customHeight="1" x14ac:dyDescent="0.4">
      <c r="A25" s="10">
        <v>20</v>
      </c>
      <c r="B25" s="23" t="s">
        <v>480</v>
      </c>
      <c r="C25" s="24" t="s">
        <v>836</v>
      </c>
      <c r="D25" s="24" t="s">
        <v>837</v>
      </c>
      <c r="E25" s="40">
        <v>1</v>
      </c>
      <c r="F25" s="24" t="s">
        <v>838</v>
      </c>
      <c r="G25" s="40">
        <v>1</v>
      </c>
      <c r="H25" s="24" t="s">
        <v>839</v>
      </c>
      <c r="I25" s="8">
        <v>0</v>
      </c>
      <c r="J25" s="24" t="s">
        <v>840</v>
      </c>
    </row>
    <row r="26" spans="1:10" ht="28" customHeight="1" x14ac:dyDescent="0.4">
      <c r="A26" s="5">
        <v>21</v>
      </c>
      <c r="B26" s="21" t="s">
        <v>368</v>
      </c>
      <c r="C26" s="22" t="s">
        <v>841</v>
      </c>
      <c r="D26" s="22" t="s">
        <v>842</v>
      </c>
      <c r="E26" s="39">
        <v>2</v>
      </c>
      <c r="F26" s="22" t="s">
        <v>843</v>
      </c>
      <c r="G26" s="3">
        <v>0</v>
      </c>
      <c r="H26" s="22" t="s">
        <v>531</v>
      </c>
      <c r="I26" s="39">
        <v>6</v>
      </c>
      <c r="J26" s="22" t="s">
        <v>844</v>
      </c>
    </row>
    <row r="27" spans="1:10" ht="28" customHeight="1" x14ac:dyDescent="0.4">
      <c r="A27" s="10">
        <v>22</v>
      </c>
      <c r="B27" s="23" t="s">
        <v>354</v>
      </c>
      <c r="C27" s="24" t="s">
        <v>829</v>
      </c>
      <c r="D27" s="24" t="s">
        <v>842</v>
      </c>
      <c r="E27" s="40">
        <v>1</v>
      </c>
      <c r="F27" s="24" t="s">
        <v>845</v>
      </c>
      <c r="G27" s="8">
        <v>0</v>
      </c>
      <c r="H27" s="24" t="s">
        <v>531</v>
      </c>
      <c r="I27" s="40">
        <v>7</v>
      </c>
      <c r="J27" s="24" t="s">
        <v>846</v>
      </c>
    </row>
    <row r="28" spans="1:10" ht="28" customHeight="1" x14ac:dyDescent="0.4">
      <c r="A28" s="5">
        <v>23</v>
      </c>
      <c r="B28" s="21" t="s">
        <v>424</v>
      </c>
      <c r="C28" s="22" t="s">
        <v>829</v>
      </c>
      <c r="D28" s="22" t="s">
        <v>842</v>
      </c>
      <c r="E28" s="39">
        <v>2</v>
      </c>
      <c r="F28" s="22" t="s">
        <v>847</v>
      </c>
      <c r="G28" s="3">
        <v>0</v>
      </c>
      <c r="H28" s="22" t="s">
        <v>531</v>
      </c>
      <c r="I28" s="39">
        <v>3</v>
      </c>
      <c r="J28" s="22" t="s">
        <v>848</v>
      </c>
    </row>
    <row r="29" spans="1:10" ht="28" customHeight="1" x14ac:dyDescent="0.4">
      <c r="A29" s="10">
        <v>24</v>
      </c>
      <c r="B29" s="23" t="s">
        <v>396</v>
      </c>
      <c r="C29" s="24" t="s">
        <v>829</v>
      </c>
      <c r="D29" s="24" t="s">
        <v>842</v>
      </c>
      <c r="E29" s="40">
        <v>1</v>
      </c>
      <c r="F29" s="24" t="s">
        <v>849</v>
      </c>
      <c r="G29" s="8">
        <v>0</v>
      </c>
      <c r="H29" s="24" t="s">
        <v>531</v>
      </c>
      <c r="I29" s="40">
        <v>14</v>
      </c>
      <c r="J29" s="24" t="s">
        <v>850</v>
      </c>
    </row>
    <row r="30" spans="1:10" ht="28" customHeight="1" x14ac:dyDescent="0.4">
      <c r="A30" s="5">
        <v>25</v>
      </c>
      <c r="B30" s="21" t="s">
        <v>375</v>
      </c>
      <c r="C30" s="22" t="s">
        <v>829</v>
      </c>
      <c r="D30" s="22" t="s">
        <v>842</v>
      </c>
      <c r="E30" s="3">
        <v>0</v>
      </c>
      <c r="F30" s="22" t="s">
        <v>531</v>
      </c>
      <c r="G30" s="3">
        <v>0</v>
      </c>
      <c r="H30" s="22" t="s">
        <v>531</v>
      </c>
      <c r="I30" s="39">
        <v>8</v>
      </c>
      <c r="J30" s="22" t="s">
        <v>851</v>
      </c>
    </row>
    <row r="31" spans="1:10" ht="28" customHeight="1" x14ac:dyDescent="0.4">
      <c r="A31" s="10">
        <v>26</v>
      </c>
      <c r="B31" s="23" t="s">
        <v>852</v>
      </c>
      <c r="C31" s="24" t="s">
        <v>829</v>
      </c>
      <c r="D31" s="24" t="s">
        <v>853</v>
      </c>
      <c r="E31" s="40">
        <v>1</v>
      </c>
      <c r="F31" s="24" t="s">
        <v>854</v>
      </c>
      <c r="G31" s="8">
        <v>0</v>
      </c>
      <c r="H31" s="24" t="s">
        <v>531</v>
      </c>
      <c r="I31" s="8">
        <v>0</v>
      </c>
      <c r="J31" s="24" t="s">
        <v>855</v>
      </c>
    </row>
    <row r="32" spans="1:10" ht="24" customHeight="1" x14ac:dyDescent="0.4">
      <c r="A32" s="36" t="s">
        <v>617</v>
      </c>
      <c r="B32" s="16" t="str">
        <f>COUNTA(B6:B31) &amp; " Core Investigators"</f>
        <v>26 Core Investigators</v>
      </c>
      <c r="C32" s="37" t="s">
        <v>123</v>
      </c>
      <c r="D32" s="37" t="s">
        <v>856</v>
      </c>
      <c r="E32" s="17">
        <f>SUM(E6:E31)</f>
        <v>57</v>
      </c>
      <c r="F32" s="37" t="s">
        <v>857</v>
      </c>
      <c r="G32" s="17">
        <f>SUM(G6:G31)</f>
        <v>13</v>
      </c>
      <c r="H32" s="37" t="s">
        <v>858</v>
      </c>
      <c r="I32" s="17">
        <f>SUM(I6:I31)</f>
        <v>41</v>
      </c>
      <c r="J32" s="37" t="s">
        <v>859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All Data Master</vt:lpstr>
      <vt:lpstr>Patents &amp; IPR</vt:lpstr>
      <vt:lpstr>Student Publications</vt:lpstr>
      <vt:lpstr>Startups &amp; Incubation</vt:lpstr>
      <vt:lpstr>People &amp;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subash P</cp:lastModifiedBy>
  <dcterms:created xsi:type="dcterms:W3CDTF">2026-10-05T16:02:44Z</dcterms:created>
  <dcterms:modified xsi:type="dcterms:W3CDTF">2026-10-05T16:02:49Z</dcterms:modified>
</cp:coreProperties>
</file>